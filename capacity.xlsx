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sx1\Downloads\lps_system\"/>
    </mc:Choice>
  </mc:AlternateContent>
  <xr:revisionPtr revIDLastSave="0" documentId="8_{BA563BC9-EBF3-414C-8ED0-4F84F325DACA}" xr6:coauthVersionLast="47" xr6:coauthVersionMax="47" xr10:uidLastSave="{00000000-0000-0000-0000-000000000000}"/>
  <bookViews>
    <workbookView xWindow="-108" yWindow="-108" windowWidth="23256" windowHeight="13176" xr2:uid="{CF0E31B8-8952-42E6-989F-8E2E512F1A2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94" i="1" l="1"/>
  <c r="AH594" i="1"/>
  <c r="AF594" i="1"/>
  <c r="AB594" i="1"/>
  <c r="G594" i="1"/>
  <c r="F594" i="1"/>
  <c r="AM593" i="1"/>
  <c r="AI593" i="1"/>
  <c r="AH593" i="1"/>
  <c r="AF593" i="1"/>
  <c r="AL593" i="1" s="1"/>
  <c r="AB593" i="1"/>
  <c r="F593" i="1" s="1"/>
  <c r="V593" i="1"/>
  <c r="U593" i="1"/>
  <c r="S593" i="1"/>
  <c r="G593" i="1"/>
  <c r="AK592" i="1"/>
  <c r="AJ592" i="1"/>
  <c r="AI592" i="1"/>
  <c r="AH592" i="1"/>
  <c r="AF592" i="1"/>
  <c r="AG592" i="1" s="1"/>
  <c r="AB592" i="1"/>
  <c r="U592" i="1"/>
  <c r="Q592" i="1"/>
  <c r="O592" i="1"/>
  <c r="M592" i="1"/>
  <c r="K592" i="1"/>
  <c r="I592" i="1"/>
  <c r="G592" i="1"/>
  <c r="F592" i="1"/>
  <c r="S592" i="1" s="1"/>
  <c r="AK591" i="1"/>
  <c r="AJ591" i="1"/>
  <c r="AF591" i="1"/>
  <c r="AM591" i="1" s="1"/>
  <c r="AB591" i="1"/>
  <c r="V591" i="1"/>
  <c r="U591" i="1"/>
  <c r="S591" i="1"/>
  <c r="Q591" i="1"/>
  <c r="O591" i="1"/>
  <c r="M591" i="1"/>
  <c r="K591" i="1"/>
  <c r="I591" i="1"/>
  <c r="G591" i="1"/>
  <c r="AL590" i="1"/>
  <c r="AK590" i="1"/>
  <c r="AJ590" i="1"/>
  <c r="AI590" i="1"/>
  <c r="AH590" i="1"/>
  <c r="AF590" i="1"/>
  <c r="AB590" i="1"/>
  <c r="U590" i="1"/>
  <c r="S590" i="1"/>
  <c r="Q590" i="1"/>
  <c r="O590" i="1"/>
  <c r="M590" i="1"/>
  <c r="K590" i="1"/>
  <c r="I590" i="1"/>
  <c r="G590" i="1"/>
  <c r="AM589" i="1"/>
  <c r="AI589" i="1"/>
  <c r="AH589" i="1"/>
  <c r="AF589" i="1"/>
  <c r="AL589" i="1" s="1"/>
  <c r="AB589" i="1"/>
  <c r="F589" i="1" s="1"/>
  <c r="V589" i="1"/>
  <c r="U589" i="1"/>
  <c r="S589" i="1"/>
  <c r="Q589" i="1"/>
  <c r="I589" i="1"/>
  <c r="G589" i="1"/>
  <c r="AL588" i="1"/>
  <c r="AK588" i="1"/>
  <c r="AJ588" i="1"/>
  <c r="AI588" i="1"/>
  <c r="AH588" i="1"/>
  <c r="AF588" i="1"/>
  <c r="AG588" i="1" s="1"/>
  <c r="AB588" i="1"/>
  <c r="V588" i="1"/>
  <c r="U588" i="1"/>
  <c r="Q588" i="1"/>
  <c r="O588" i="1"/>
  <c r="M588" i="1"/>
  <c r="K588" i="1"/>
  <c r="I588" i="1"/>
  <c r="G588" i="1"/>
  <c r="F588" i="1"/>
  <c r="S588" i="1" s="1"/>
  <c r="AF587" i="1"/>
  <c r="AB587" i="1"/>
  <c r="F587" i="1" s="1"/>
  <c r="V587" i="1" s="1"/>
  <c r="G587" i="1"/>
  <c r="AM586" i="1"/>
  <c r="AL586" i="1"/>
  <c r="AF586" i="1"/>
  <c r="AB586" i="1"/>
  <c r="F586" i="1" s="1"/>
  <c r="Q586" i="1"/>
  <c r="G586" i="1"/>
  <c r="AF585" i="1"/>
  <c r="AB585" i="1"/>
  <c r="V585" i="1"/>
  <c r="U585" i="1"/>
  <c r="S585" i="1"/>
  <c r="Q585" i="1"/>
  <c r="O585" i="1"/>
  <c r="M585" i="1"/>
  <c r="K585" i="1"/>
  <c r="I585" i="1"/>
  <c r="G585" i="1"/>
  <c r="AL584" i="1"/>
  <c r="AK584" i="1"/>
  <c r="AJ584" i="1"/>
  <c r="AI584" i="1"/>
  <c r="AF584" i="1"/>
  <c r="AB584" i="1"/>
  <c r="U584" i="1"/>
  <c r="S584" i="1"/>
  <c r="Q584" i="1"/>
  <c r="O584" i="1"/>
  <c r="M584" i="1"/>
  <c r="K584" i="1"/>
  <c r="I584" i="1"/>
  <c r="G584" i="1"/>
  <c r="AI583" i="1"/>
  <c r="AH583" i="1"/>
  <c r="AF583" i="1"/>
  <c r="AL583" i="1" s="1"/>
  <c r="AB583" i="1"/>
  <c r="F583" i="1" s="1"/>
  <c r="G583" i="1"/>
  <c r="AM583" i="1" s="1"/>
  <c r="AK582" i="1"/>
  <c r="AJ582" i="1"/>
  <c r="AI582" i="1"/>
  <c r="AH582" i="1"/>
  <c r="AF582" i="1"/>
  <c r="AG582" i="1" s="1"/>
  <c r="AB582" i="1"/>
  <c r="V582" i="1"/>
  <c r="U582" i="1"/>
  <c r="Q582" i="1"/>
  <c r="O582" i="1"/>
  <c r="M582" i="1"/>
  <c r="K582" i="1"/>
  <c r="I582" i="1"/>
  <c r="G582" i="1"/>
  <c r="F582" i="1"/>
  <c r="S582" i="1" s="1"/>
  <c r="AF581" i="1"/>
  <c r="AB581" i="1"/>
  <c r="F581" i="1" s="1"/>
  <c r="G581" i="1"/>
  <c r="AM580" i="1"/>
  <c r="AF580" i="1"/>
  <c r="AB580" i="1"/>
  <c r="F580" i="1" s="1"/>
  <c r="G580" i="1"/>
  <c r="AM579" i="1"/>
  <c r="AL579" i="1"/>
  <c r="AF579" i="1"/>
  <c r="AB579" i="1"/>
  <c r="V579" i="1"/>
  <c r="U579" i="1"/>
  <c r="S579" i="1"/>
  <c r="Q579" i="1"/>
  <c r="O579" i="1"/>
  <c r="M579" i="1"/>
  <c r="K579" i="1"/>
  <c r="I579" i="1"/>
  <c r="G579" i="1"/>
  <c r="AL578" i="1"/>
  <c r="AK578" i="1"/>
  <c r="AJ578" i="1"/>
  <c r="AI578" i="1"/>
  <c r="AF578" i="1"/>
  <c r="AB578" i="1"/>
  <c r="U578" i="1"/>
  <c r="S578" i="1"/>
  <c r="Q578" i="1"/>
  <c r="O578" i="1"/>
  <c r="M578" i="1"/>
  <c r="K578" i="1"/>
  <c r="I578" i="1"/>
  <c r="G578" i="1"/>
  <c r="AM577" i="1"/>
  <c r="AI577" i="1"/>
  <c r="AH577" i="1"/>
  <c r="AF577" i="1"/>
  <c r="AL577" i="1" s="1"/>
  <c r="AB577" i="1"/>
  <c r="F577" i="1" s="1"/>
  <c r="J577" i="1"/>
  <c r="I577" i="1"/>
  <c r="AK576" i="1"/>
  <c r="AJ576" i="1"/>
  <c r="AI576" i="1"/>
  <c r="AH576" i="1"/>
  <c r="AF576" i="1"/>
  <c r="AG576" i="1" s="1"/>
  <c r="AB576" i="1"/>
  <c r="V576" i="1"/>
  <c r="U576" i="1"/>
  <c r="Q576" i="1"/>
  <c r="O576" i="1"/>
  <c r="M576" i="1"/>
  <c r="K576" i="1"/>
  <c r="J576" i="1"/>
  <c r="I576" i="1"/>
  <c r="F576" i="1"/>
  <c r="S576" i="1" s="1"/>
  <c r="AK575" i="1"/>
  <c r="AJ575" i="1"/>
  <c r="AF575" i="1"/>
  <c r="AB575" i="1"/>
  <c r="F575" i="1" s="1"/>
  <c r="U575" i="1" s="1"/>
  <c r="V575" i="1"/>
  <c r="M575" i="1"/>
  <c r="K575" i="1"/>
  <c r="G575" i="1"/>
  <c r="AJ574" i="1"/>
  <c r="AF574" i="1"/>
  <c r="AB574" i="1"/>
  <c r="F574" i="1" s="1"/>
  <c r="G574" i="1"/>
  <c r="AM573" i="1"/>
  <c r="AF573" i="1"/>
  <c r="AB573" i="1"/>
  <c r="F573" i="1" s="1"/>
  <c r="Q573" i="1" s="1"/>
  <c r="G573" i="1"/>
  <c r="AL572" i="1"/>
  <c r="AK572" i="1"/>
  <c r="AJ572" i="1"/>
  <c r="AH572" i="1"/>
  <c r="AG572" i="1"/>
  <c r="AF572" i="1"/>
  <c r="AI572" i="1" s="1"/>
  <c r="AB572" i="1"/>
  <c r="U572" i="1"/>
  <c r="G572" i="1"/>
  <c r="AM572" i="1" s="1"/>
  <c r="F572" i="1"/>
  <c r="AJ571" i="1"/>
  <c r="AF571" i="1"/>
  <c r="AB571" i="1"/>
  <c r="U571" i="1"/>
  <c r="S571" i="1"/>
  <c r="Q571" i="1"/>
  <c r="O571" i="1"/>
  <c r="M571" i="1"/>
  <c r="K571" i="1"/>
  <c r="I571" i="1"/>
  <c r="G571" i="1"/>
  <c r="V571" i="1" s="1"/>
  <c r="AM570" i="1"/>
  <c r="AL570" i="1"/>
  <c r="AK570" i="1"/>
  <c r="AJ570" i="1"/>
  <c r="AI570" i="1"/>
  <c r="AF570" i="1"/>
  <c r="AB570" i="1"/>
  <c r="V570" i="1"/>
  <c r="U570" i="1"/>
  <c r="S570" i="1"/>
  <c r="Q570" i="1"/>
  <c r="O570" i="1"/>
  <c r="M570" i="1"/>
  <c r="K570" i="1"/>
  <c r="I570" i="1"/>
  <c r="AL569" i="1"/>
  <c r="AJ569" i="1"/>
  <c r="AI569" i="1"/>
  <c r="AG569" i="1"/>
  <c r="AF569" i="1"/>
  <c r="AM569" i="1" s="1"/>
  <c r="AB569" i="1"/>
  <c r="F569" i="1" s="1"/>
  <c r="V569" i="1" s="1"/>
  <c r="S569" i="1"/>
  <c r="K569" i="1"/>
  <c r="G569" i="1"/>
  <c r="AL568" i="1"/>
  <c r="AK568" i="1"/>
  <c r="AJ568" i="1"/>
  <c r="AI568" i="1"/>
  <c r="AF568" i="1"/>
  <c r="AH568" i="1" s="1"/>
  <c r="AB568" i="1"/>
  <c r="F568" i="1" s="1"/>
  <c r="M568" i="1"/>
  <c r="K568" i="1"/>
  <c r="G568" i="1"/>
  <c r="AL567" i="1"/>
  <c r="AK567" i="1"/>
  <c r="AG567" i="1"/>
  <c r="AF567" i="1"/>
  <c r="AB567" i="1"/>
  <c r="F567" i="1" s="1"/>
  <c r="O567" i="1"/>
  <c r="M567" i="1"/>
  <c r="G567" i="1"/>
  <c r="AF566" i="1"/>
  <c r="AB566" i="1"/>
  <c r="S566" i="1"/>
  <c r="Q566" i="1"/>
  <c r="O566" i="1"/>
  <c r="G566" i="1"/>
  <c r="F566" i="1"/>
  <c r="AI565" i="1"/>
  <c r="AF565" i="1"/>
  <c r="AB565" i="1"/>
  <c r="U565" i="1"/>
  <c r="S565" i="1"/>
  <c r="Q565" i="1"/>
  <c r="G565" i="1"/>
  <c r="F565" i="1"/>
  <c r="AJ564" i="1"/>
  <c r="AI564" i="1"/>
  <c r="AH564" i="1"/>
  <c r="AF564" i="1"/>
  <c r="AL564" i="1" s="1"/>
  <c r="AB564" i="1"/>
  <c r="F564" i="1" s="1"/>
  <c r="U564" i="1"/>
  <c r="S564" i="1"/>
  <c r="G564" i="1"/>
  <c r="AM563" i="1"/>
  <c r="AK563" i="1"/>
  <c r="AJ563" i="1"/>
  <c r="AI563" i="1"/>
  <c r="AH563" i="1"/>
  <c r="AF563" i="1"/>
  <c r="AG563" i="1" s="1"/>
  <c r="AB563" i="1"/>
  <c r="F563" i="1" s="1"/>
  <c r="K563" i="1"/>
  <c r="I563" i="1"/>
  <c r="G563" i="1"/>
  <c r="AL562" i="1"/>
  <c r="AK562" i="1"/>
  <c r="AJ562" i="1"/>
  <c r="AF562" i="1"/>
  <c r="AB562" i="1"/>
  <c r="U562" i="1"/>
  <c r="S562" i="1"/>
  <c r="Q562" i="1"/>
  <c r="O562" i="1"/>
  <c r="M562" i="1"/>
  <c r="K562" i="1"/>
  <c r="I562" i="1"/>
  <c r="G562" i="1"/>
  <c r="AF561" i="1"/>
  <c r="AB561" i="1"/>
  <c r="V561" i="1"/>
  <c r="U561" i="1"/>
  <c r="S561" i="1"/>
  <c r="Q561" i="1"/>
  <c r="O561" i="1"/>
  <c r="M561" i="1"/>
  <c r="K561" i="1"/>
  <c r="I561" i="1"/>
  <c r="G561" i="1"/>
  <c r="AM560" i="1"/>
  <c r="AL560" i="1"/>
  <c r="AF560" i="1"/>
  <c r="AG560" i="1" s="1"/>
  <c r="AB560" i="1"/>
  <c r="V560" i="1"/>
  <c r="U560" i="1"/>
  <c r="S560" i="1"/>
  <c r="Q560" i="1"/>
  <c r="O560" i="1"/>
  <c r="M560" i="1"/>
  <c r="K560" i="1"/>
  <c r="I560" i="1"/>
  <c r="G560" i="1"/>
  <c r="AL559" i="1"/>
  <c r="AK559" i="1"/>
  <c r="AH559" i="1"/>
  <c r="AG559" i="1"/>
  <c r="AF559" i="1"/>
  <c r="AB559" i="1"/>
  <c r="U559" i="1"/>
  <c r="S559" i="1"/>
  <c r="Q559" i="1"/>
  <c r="O559" i="1"/>
  <c r="M559" i="1"/>
  <c r="K559" i="1"/>
  <c r="I559" i="1"/>
  <c r="G559" i="1"/>
  <c r="AM558" i="1"/>
  <c r="AK558" i="1"/>
  <c r="AI558" i="1"/>
  <c r="AF558" i="1"/>
  <c r="AB558" i="1"/>
  <c r="V558" i="1"/>
  <c r="U558" i="1"/>
  <c r="S558" i="1"/>
  <c r="Q558" i="1"/>
  <c r="O558" i="1"/>
  <c r="M558" i="1"/>
  <c r="K558" i="1"/>
  <c r="I558" i="1"/>
  <c r="G558" i="1"/>
  <c r="AM557" i="1"/>
  <c r="AL557" i="1"/>
  <c r="AK557" i="1"/>
  <c r="AF557" i="1"/>
  <c r="AI557" i="1" s="1"/>
  <c r="AB557" i="1"/>
  <c r="V557" i="1"/>
  <c r="U557" i="1"/>
  <c r="S557" i="1"/>
  <c r="Q557" i="1"/>
  <c r="O557" i="1"/>
  <c r="M557" i="1"/>
  <c r="K557" i="1"/>
  <c r="I557" i="1"/>
  <c r="G557" i="1"/>
  <c r="AF556" i="1"/>
  <c r="AB556" i="1"/>
  <c r="U556" i="1"/>
  <c r="S556" i="1"/>
  <c r="Q556" i="1"/>
  <c r="O556" i="1"/>
  <c r="M556" i="1"/>
  <c r="K556" i="1"/>
  <c r="I556" i="1"/>
  <c r="G556" i="1"/>
  <c r="V556" i="1" s="1"/>
  <c r="AM555" i="1"/>
  <c r="AL555" i="1"/>
  <c r="AJ555" i="1"/>
  <c r="AF555" i="1"/>
  <c r="AK555" i="1" s="1"/>
  <c r="AB555" i="1"/>
  <c r="V555" i="1"/>
  <c r="U555" i="1"/>
  <c r="S555" i="1"/>
  <c r="Q555" i="1"/>
  <c r="O555" i="1"/>
  <c r="M555" i="1"/>
  <c r="K555" i="1"/>
  <c r="I555" i="1"/>
  <c r="G555" i="1"/>
  <c r="AJ554" i="1"/>
  <c r="AI554" i="1"/>
  <c r="AH554" i="1"/>
  <c r="AF554" i="1"/>
  <c r="AG554" i="1" s="1"/>
  <c r="AB554" i="1"/>
  <c r="F554" i="1" s="1"/>
  <c r="G554" i="1"/>
  <c r="AL553" i="1"/>
  <c r="AJ553" i="1"/>
  <c r="AF553" i="1"/>
  <c r="AB553" i="1"/>
  <c r="F553" i="1" s="1"/>
  <c r="G553" i="1"/>
  <c r="S540" i="1"/>
  <c r="S541" i="1" s="1"/>
  <c r="Q540" i="1"/>
  <c r="Q541" i="1" s="1"/>
  <c r="O540" i="1"/>
  <c r="O541" i="1" s="1"/>
  <c r="K540" i="1"/>
  <c r="K541" i="1" s="1"/>
  <c r="U537" i="1"/>
  <c r="U540" i="1" s="1"/>
  <c r="U541" i="1" s="1"/>
  <c r="S537" i="1"/>
  <c r="Q537" i="1"/>
  <c r="O537" i="1"/>
  <c r="M537" i="1"/>
  <c r="M540" i="1" s="1"/>
  <c r="M541" i="1" s="1"/>
  <c r="K537" i="1"/>
  <c r="I537" i="1"/>
  <c r="V534" i="1"/>
  <c r="AF533" i="1"/>
  <c r="V533" i="1"/>
  <c r="U533" i="1"/>
  <c r="S533" i="1"/>
  <c r="Q533" i="1"/>
  <c r="O533" i="1"/>
  <c r="M533" i="1"/>
  <c r="K533" i="1"/>
  <c r="AR532" i="1"/>
  <c r="AP532" i="1"/>
  <c r="AM532" i="1"/>
  <c r="AN532" i="1" s="1"/>
  <c r="AL532" i="1"/>
  <c r="AK532" i="1"/>
  <c r="AJ532" i="1"/>
  <c r="AH532" i="1"/>
  <c r="AG532" i="1"/>
  <c r="AF532" i="1"/>
  <c r="U532" i="1"/>
  <c r="K532" i="1"/>
  <c r="F532" i="1"/>
  <c r="AR531" i="1"/>
  <c r="AP531" i="1"/>
  <c r="AK531" i="1"/>
  <c r="AJ531" i="1"/>
  <c r="AH531" i="1"/>
  <c r="AF531" i="1"/>
  <c r="AL531" i="1" s="1"/>
  <c r="AD531" i="1"/>
  <c r="AB531" i="1"/>
  <c r="V531" i="1"/>
  <c r="U531" i="1"/>
  <c r="S531" i="1"/>
  <c r="O531" i="1"/>
  <c r="M531" i="1"/>
  <c r="F531" i="1"/>
  <c r="Q531" i="1" s="1"/>
  <c r="AR530" i="1"/>
  <c r="AP530" i="1"/>
  <c r="AK530" i="1"/>
  <c r="AJ530" i="1"/>
  <c r="AG530" i="1"/>
  <c r="AF530" i="1"/>
  <c r="AH530" i="1" s="1"/>
  <c r="AB530" i="1"/>
  <c r="F530" i="1" s="1"/>
  <c r="AL529" i="1"/>
  <c r="AF529" i="1"/>
  <c r="U529" i="1"/>
  <c r="S529" i="1"/>
  <c r="Q529" i="1"/>
  <c r="F529" i="1"/>
  <c r="M529" i="1" s="1"/>
  <c r="AR528" i="1"/>
  <c r="AP528" i="1"/>
  <c r="AM528" i="1"/>
  <c r="AN528" i="1" s="1"/>
  <c r="AL528" i="1"/>
  <c r="AK528" i="1"/>
  <c r="AJ528" i="1"/>
  <c r="AH528" i="1"/>
  <c r="AG528" i="1"/>
  <c r="AF528" i="1"/>
  <c r="F528" i="1"/>
  <c r="AM527" i="1"/>
  <c r="AK527" i="1"/>
  <c r="AJ527" i="1"/>
  <c r="AI527" i="1"/>
  <c r="AF527" i="1"/>
  <c r="AH527" i="1" s="1"/>
  <c r="AB527" i="1"/>
  <c r="V527" i="1"/>
  <c r="U527" i="1"/>
  <c r="S527" i="1"/>
  <c r="Q527" i="1"/>
  <c r="O527" i="1"/>
  <c r="M527" i="1"/>
  <c r="K527" i="1"/>
  <c r="I527" i="1"/>
  <c r="G527" i="1"/>
  <c r="F527" i="1"/>
  <c r="AK526" i="1"/>
  <c r="AJ526" i="1"/>
  <c r="AI526" i="1"/>
  <c r="AH526" i="1"/>
  <c r="AG526" i="1"/>
  <c r="AF526" i="1"/>
  <c r="AL526" i="1" s="1"/>
  <c r="AB526" i="1"/>
  <c r="G526" i="1"/>
  <c r="AM526" i="1" s="1"/>
  <c r="F526" i="1"/>
  <c r="AM525" i="1"/>
  <c r="AL525" i="1"/>
  <c r="AK525" i="1"/>
  <c r="AJ525" i="1"/>
  <c r="AI525" i="1"/>
  <c r="AH525" i="1"/>
  <c r="AF525" i="1"/>
  <c r="AG525" i="1" s="1"/>
  <c r="AB525" i="1"/>
  <c r="F525" i="1" s="1"/>
  <c r="M525" i="1" s="1"/>
  <c r="V525" i="1"/>
  <c r="U525" i="1"/>
  <c r="S525" i="1"/>
  <c r="Q525" i="1"/>
  <c r="O525" i="1"/>
  <c r="K525" i="1"/>
  <c r="I525" i="1"/>
  <c r="G525" i="1"/>
  <c r="AH524" i="1"/>
  <c r="AG524" i="1"/>
  <c r="AF524" i="1"/>
  <c r="AB524" i="1"/>
  <c r="G524" i="1"/>
  <c r="F524" i="1"/>
  <c r="AM523" i="1"/>
  <c r="AL523" i="1"/>
  <c r="AK523" i="1"/>
  <c r="AJ523" i="1"/>
  <c r="AH523" i="1"/>
  <c r="AG523" i="1"/>
  <c r="AF523" i="1"/>
  <c r="AI523" i="1" s="1"/>
  <c r="AB523" i="1"/>
  <c r="U523" i="1"/>
  <c r="S523" i="1"/>
  <c r="Q523" i="1"/>
  <c r="O523" i="1"/>
  <c r="G523" i="1"/>
  <c r="F523" i="1"/>
  <c r="AF522" i="1"/>
  <c r="AB522" i="1"/>
  <c r="F522" i="1" s="1"/>
  <c r="Q522" i="1"/>
  <c r="O522" i="1"/>
  <c r="G522" i="1"/>
  <c r="AF521" i="1"/>
  <c r="AB521" i="1"/>
  <c r="S521" i="1"/>
  <c r="Q521" i="1"/>
  <c r="O521" i="1"/>
  <c r="K521" i="1"/>
  <c r="I521" i="1"/>
  <c r="G521" i="1"/>
  <c r="F521" i="1"/>
  <c r="M521" i="1" s="1"/>
  <c r="AL520" i="1"/>
  <c r="AK520" i="1"/>
  <c r="AJ520" i="1"/>
  <c r="AI520" i="1"/>
  <c r="AH520" i="1"/>
  <c r="AG520" i="1"/>
  <c r="AF520" i="1"/>
  <c r="AB520" i="1"/>
  <c r="G520" i="1"/>
  <c r="AM520" i="1" s="1"/>
  <c r="F520" i="1"/>
  <c r="AL519" i="1"/>
  <c r="AJ519" i="1"/>
  <c r="AF519" i="1"/>
  <c r="AB519" i="1"/>
  <c r="S519" i="1"/>
  <c r="O519" i="1"/>
  <c r="M519" i="1"/>
  <c r="K519" i="1"/>
  <c r="I519" i="1"/>
  <c r="G519" i="1"/>
  <c r="F519" i="1"/>
  <c r="Q519" i="1" s="1"/>
  <c r="AL518" i="1"/>
  <c r="AG518" i="1"/>
  <c r="AF518" i="1"/>
  <c r="AB518" i="1"/>
  <c r="G518" i="1"/>
  <c r="F518" i="1"/>
  <c r="AM517" i="1"/>
  <c r="AG517" i="1"/>
  <c r="AF517" i="1"/>
  <c r="AB517" i="1"/>
  <c r="Q517" i="1"/>
  <c r="O517" i="1"/>
  <c r="M517" i="1"/>
  <c r="K517" i="1"/>
  <c r="I517" i="1"/>
  <c r="G517" i="1"/>
  <c r="F517" i="1"/>
  <c r="U517" i="1" s="1"/>
  <c r="AF516" i="1"/>
  <c r="AB516" i="1"/>
  <c r="F516" i="1" s="1"/>
  <c r="G516" i="1"/>
  <c r="AL515" i="1"/>
  <c r="AK515" i="1"/>
  <c r="AF515" i="1"/>
  <c r="AB515" i="1"/>
  <c r="Q515" i="1"/>
  <c r="O515" i="1"/>
  <c r="M515" i="1"/>
  <c r="K515" i="1"/>
  <c r="I515" i="1"/>
  <c r="G515" i="1"/>
  <c r="F515" i="1"/>
  <c r="V515" i="1" s="1"/>
  <c r="AM514" i="1"/>
  <c r="AF514" i="1"/>
  <c r="AB514" i="1"/>
  <c r="F514" i="1" s="1"/>
  <c r="V514" i="1"/>
  <c r="G514" i="1"/>
  <c r="AM513" i="1"/>
  <c r="AL513" i="1"/>
  <c r="AK513" i="1"/>
  <c r="AJ513" i="1"/>
  <c r="AI513" i="1"/>
  <c r="AF513" i="1"/>
  <c r="AG513" i="1" s="1"/>
  <c r="AB513" i="1"/>
  <c r="F513" i="1" s="1"/>
  <c r="V513" i="1"/>
  <c r="I513" i="1"/>
  <c r="G513" i="1"/>
  <c r="AL512" i="1"/>
  <c r="AK512" i="1"/>
  <c r="AJ512" i="1"/>
  <c r="AF512" i="1"/>
  <c r="AB512" i="1"/>
  <c r="F512" i="1" s="1"/>
  <c r="V512" i="1"/>
  <c r="U512" i="1"/>
  <c r="I512" i="1"/>
  <c r="G512" i="1"/>
  <c r="AL511" i="1"/>
  <c r="AK511" i="1"/>
  <c r="AJ511" i="1"/>
  <c r="AH511" i="1"/>
  <c r="AG511" i="1"/>
  <c r="AF511" i="1"/>
  <c r="AI511" i="1" s="1"/>
  <c r="AB511" i="1"/>
  <c r="G511" i="1"/>
  <c r="F511" i="1"/>
  <c r="AL510" i="1"/>
  <c r="AK510" i="1"/>
  <c r="AJ510" i="1"/>
  <c r="AI510" i="1"/>
  <c r="AF510" i="1"/>
  <c r="AH510" i="1" s="1"/>
  <c r="AB510" i="1"/>
  <c r="F510" i="1" s="1"/>
  <c r="U510" i="1"/>
  <c r="S510" i="1"/>
  <c r="Q510" i="1"/>
  <c r="O510" i="1"/>
  <c r="K510" i="1"/>
  <c r="I510" i="1"/>
  <c r="G510" i="1"/>
  <c r="AM510" i="1" s="1"/>
  <c r="AJ509" i="1"/>
  <c r="AI509" i="1"/>
  <c r="AH509" i="1"/>
  <c r="AG509" i="1"/>
  <c r="AF509" i="1"/>
  <c r="AB509" i="1"/>
  <c r="G509" i="1"/>
  <c r="F509" i="1"/>
  <c r="AM508" i="1"/>
  <c r="AL508" i="1"/>
  <c r="AK508" i="1"/>
  <c r="AJ508" i="1"/>
  <c r="AI508" i="1"/>
  <c r="AH508" i="1"/>
  <c r="AG508" i="1"/>
  <c r="AF508" i="1"/>
  <c r="AB508" i="1"/>
  <c r="F508" i="1" s="1"/>
  <c r="M508" i="1" s="1"/>
  <c r="V508" i="1"/>
  <c r="U508" i="1"/>
  <c r="S508" i="1"/>
  <c r="Q508" i="1"/>
  <c r="O508" i="1"/>
  <c r="K508" i="1"/>
  <c r="G508" i="1"/>
  <c r="AK507" i="1"/>
  <c r="AJ507" i="1"/>
  <c r="AI507" i="1"/>
  <c r="AH507" i="1"/>
  <c r="AG507" i="1"/>
  <c r="AF507" i="1"/>
  <c r="AM507" i="1" s="1"/>
  <c r="AB507" i="1"/>
  <c r="F507" i="1" s="1"/>
  <c r="V507" i="1"/>
  <c r="U507" i="1"/>
  <c r="M507" i="1"/>
  <c r="G507" i="1"/>
  <c r="AM506" i="1"/>
  <c r="AL506" i="1"/>
  <c r="AF506" i="1"/>
  <c r="AB506" i="1"/>
  <c r="F506" i="1" s="1"/>
  <c r="V506" i="1"/>
  <c r="U506" i="1"/>
  <c r="S506" i="1"/>
  <c r="K506" i="1"/>
  <c r="G506" i="1"/>
  <c r="AM505" i="1"/>
  <c r="AL505" i="1"/>
  <c r="AK505" i="1"/>
  <c r="AJ505" i="1"/>
  <c r="AI505" i="1"/>
  <c r="AH505" i="1"/>
  <c r="AG505" i="1"/>
  <c r="AF505" i="1"/>
  <c r="AB505" i="1"/>
  <c r="I505" i="1"/>
  <c r="G505" i="1"/>
  <c r="F505" i="1"/>
  <c r="AL504" i="1"/>
  <c r="AH504" i="1"/>
  <c r="AF504" i="1"/>
  <c r="AB504" i="1"/>
  <c r="U504" i="1"/>
  <c r="S504" i="1"/>
  <c r="G504" i="1"/>
  <c r="AM504" i="1" s="1"/>
  <c r="F504" i="1"/>
  <c r="AM503" i="1"/>
  <c r="AL503" i="1"/>
  <c r="AK503" i="1"/>
  <c r="AJ503" i="1"/>
  <c r="AI503" i="1"/>
  <c r="AH503" i="1"/>
  <c r="AG503" i="1"/>
  <c r="AF503" i="1"/>
  <c r="AB503" i="1"/>
  <c r="Q503" i="1"/>
  <c r="G503" i="1"/>
  <c r="F503" i="1"/>
  <c r="AJ502" i="1"/>
  <c r="AI502" i="1"/>
  <c r="AH502" i="1"/>
  <c r="AG502" i="1"/>
  <c r="AF502" i="1"/>
  <c r="AB502" i="1"/>
  <c r="F502" i="1" s="1"/>
  <c r="V502" i="1"/>
  <c r="G502" i="1"/>
  <c r="AL501" i="1"/>
  <c r="AK501" i="1"/>
  <c r="AJ501" i="1"/>
  <c r="AI501" i="1"/>
  <c r="AF501" i="1"/>
  <c r="AH501" i="1" s="1"/>
  <c r="U501" i="1"/>
  <c r="S501" i="1"/>
  <c r="Q501" i="1"/>
  <c r="O501" i="1"/>
  <c r="M501" i="1"/>
  <c r="K501" i="1"/>
  <c r="I501" i="1"/>
  <c r="G501" i="1"/>
  <c r="F501" i="1"/>
  <c r="AK500" i="1"/>
  <c r="AJ500" i="1"/>
  <c r="AI500" i="1"/>
  <c r="AG500" i="1"/>
  <c r="AF500" i="1"/>
  <c r="AD500" i="1"/>
  <c r="AB500" i="1" s="1"/>
  <c r="F500" i="1" s="1"/>
  <c r="O500" i="1" s="1"/>
  <c r="G500" i="1"/>
  <c r="AF499" i="1"/>
  <c r="AB499" i="1"/>
  <c r="F499" i="1" s="1"/>
  <c r="M499" i="1"/>
  <c r="G499" i="1"/>
  <c r="AB498" i="1"/>
  <c r="F498" i="1" s="1"/>
  <c r="I498" i="1" s="1"/>
  <c r="V498" i="1"/>
  <c r="U498" i="1"/>
  <c r="S498" i="1"/>
  <c r="Q498" i="1"/>
  <c r="O498" i="1"/>
  <c r="M498" i="1"/>
  <c r="K498" i="1"/>
  <c r="G498" i="1"/>
  <c r="AI497" i="1"/>
  <c r="AH497" i="1"/>
  <c r="AF497" i="1"/>
  <c r="AB497" i="1"/>
  <c r="F497" i="1" s="1"/>
  <c r="Q497" i="1"/>
  <c r="O497" i="1"/>
  <c r="M497" i="1"/>
  <c r="K497" i="1"/>
  <c r="G497" i="1"/>
  <c r="AH496" i="1"/>
  <c r="AG496" i="1"/>
  <c r="AF496" i="1"/>
  <c r="AB496" i="1"/>
  <c r="F496" i="1" s="1"/>
  <c r="U496" i="1"/>
  <c r="S496" i="1"/>
  <c r="G496" i="1"/>
  <c r="AL495" i="1"/>
  <c r="AK495" i="1"/>
  <c r="AJ495" i="1"/>
  <c r="AI495" i="1"/>
  <c r="AH495" i="1"/>
  <c r="AG495" i="1"/>
  <c r="AF495" i="1"/>
  <c r="AB495" i="1"/>
  <c r="G495" i="1"/>
  <c r="AM495" i="1" s="1"/>
  <c r="F495" i="1"/>
  <c r="AJ494" i="1"/>
  <c r="AI494" i="1"/>
  <c r="AF494" i="1"/>
  <c r="AB494" i="1"/>
  <c r="V494" i="1"/>
  <c r="U494" i="1"/>
  <c r="G494" i="1"/>
  <c r="F494" i="1"/>
  <c r="AM493" i="1"/>
  <c r="AL493" i="1"/>
  <c r="AK493" i="1"/>
  <c r="AJ493" i="1"/>
  <c r="AI493" i="1"/>
  <c r="AF493" i="1"/>
  <c r="AH493" i="1" s="1"/>
  <c r="AD493" i="1"/>
  <c r="AB493" i="1"/>
  <c r="F493" i="1" s="1"/>
  <c r="S493" i="1"/>
  <c r="G493" i="1"/>
  <c r="AK492" i="1"/>
  <c r="AJ492" i="1"/>
  <c r="AF492" i="1"/>
  <c r="AB492" i="1"/>
  <c r="G492" i="1"/>
  <c r="AM492" i="1" s="1"/>
  <c r="F492" i="1"/>
  <c r="AM491" i="1"/>
  <c r="AI491" i="1"/>
  <c r="AF491" i="1"/>
  <c r="Q491" i="1"/>
  <c r="O491" i="1"/>
  <c r="G491" i="1"/>
  <c r="F491" i="1"/>
  <c r="AF490" i="1"/>
  <c r="AB490" i="1"/>
  <c r="O490" i="1"/>
  <c r="G490" i="1"/>
  <c r="F490" i="1"/>
  <c r="AJ489" i="1"/>
  <c r="AG489" i="1"/>
  <c r="AF489" i="1"/>
  <c r="AB489" i="1"/>
  <c r="G489" i="1"/>
  <c r="F489" i="1"/>
  <c r="AM488" i="1"/>
  <c r="AL488" i="1"/>
  <c r="AK488" i="1"/>
  <c r="AJ488" i="1"/>
  <c r="AI488" i="1"/>
  <c r="AH488" i="1"/>
  <c r="AG488" i="1"/>
  <c r="AF488" i="1"/>
  <c r="AB488" i="1"/>
  <c r="F488" i="1" s="1"/>
  <c r="V488" i="1"/>
  <c r="S488" i="1"/>
  <c r="Q488" i="1"/>
  <c r="O488" i="1"/>
  <c r="G488" i="1"/>
  <c r="AK487" i="1"/>
  <c r="AJ487" i="1"/>
  <c r="AI487" i="1"/>
  <c r="AH487" i="1"/>
  <c r="AG487" i="1"/>
  <c r="AF487" i="1"/>
  <c r="AB487" i="1"/>
  <c r="G487" i="1"/>
  <c r="F487" i="1"/>
  <c r="AM486" i="1"/>
  <c r="AL486" i="1"/>
  <c r="AK486" i="1"/>
  <c r="AJ486" i="1"/>
  <c r="AG486" i="1"/>
  <c r="AF486" i="1"/>
  <c r="AB486" i="1"/>
  <c r="G486" i="1"/>
  <c r="F486" i="1"/>
  <c r="AF485" i="1"/>
  <c r="AB485" i="1"/>
  <c r="F485" i="1" s="1"/>
  <c r="M485" i="1"/>
  <c r="G485" i="1"/>
  <c r="AL484" i="1"/>
  <c r="AI484" i="1"/>
  <c r="AF484" i="1"/>
  <c r="G484" i="1"/>
  <c r="V484" i="1" s="1"/>
  <c r="F484" i="1"/>
  <c r="AM483" i="1"/>
  <c r="AL483" i="1"/>
  <c r="AK483" i="1"/>
  <c r="AJ483" i="1"/>
  <c r="AI483" i="1"/>
  <c r="AH483" i="1"/>
  <c r="AG483" i="1"/>
  <c r="AF483" i="1"/>
  <c r="AB483" i="1"/>
  <c r="S483" i="1"/>
  <c r="Q483" i="1"/>
  <c r="O483" i="1"/>
  <c r="M483" i="1"/>
  <c r="K483" i="1"/>
  <c r="I483" i="1"/>
  <c r="G483" i="1"/>
  <c r="F483" i="1"/>
  <c r="AM482" i="1"/>
  <c r="AG482" i="1"/>
  <c r="AF482" i="1"/>
  <c r="AB482" i="1"/>
  <c r="F482" i="1" s="1"/>
  <c r="V482" i="1"/>
  <c r="U482" i="1"/>
  <c r="S482" i="1"/>
  <c r="Q482" i="1"/>
  <c r="O482" i="1"/>
  <c r="K482" i="1"/>
  <c r="G482" i="1"/>
  <c r="AL481" i="1"/>
  <c r="AK481" i="1"/>
  <c r="AJ481" i="1"/>
  <c r="AI481" i="1"/>
  <c r="AH481" i="1"/>
  <c r="AG481" i="1"/>
  <c r="AF481" i="1"/>
  <c r="AB481" i="1"/>
  <c r="G481" i="1"/>
  <c r="AM481" i="1" s="1"/>
  <c r="F481" i="1"/>
  <c r="AG480" i="1"/>
  <c r="AF480" i="1"/>
  <c r="AB480" i="1"/>
  <c r="F480" i="1" s="1"/>
  <c r="V480" i="1"/>
  <c r="U480" i="1"/>
  <c r="M480" i="1"/>
  <c r="G480" i="1"/>
  <c r="AH479" i="1"/>
  <c r="AF479" i="1"/>
  <c r="AB479" i="1"/>
  <c r="Q479" i="1"/>
  <c r="O479" i="1"/>
  <c r="M479" i="1"/>
  <c r="G479" i="1"/>
  <c r="F479" i="1"/>
  <c r="AL478" i="1"/>
  <c r="AH478" i="1"/>
  <c r="AG478" i="1"/>
  <c r="AF478" i="1"/>
  <c r="AB478" i="1"/>
  <c r="G478" i="1"/>
  <c r="AM478" i="1" s="1"/>
  <c r="F478" i="1"/>
  <c r="AL477" i="1"/>
  <c r="AK477" i="1"/>
  <c r="AJ477" i="1"/>
  <c r="AI477" i="1"/>
  <c r="AH477" i="1"/>
  <c r="AG477" i="1"/>
  <c r="AF477" i="1"/>
  <c r="AB477" i="1"/>
  <c r="G477" i="1"/>
  <c r="AM477" i="1" s="1"/>
  <c r="F477" i="1"/>
  <c r="AF476" i="1"/>
  <c r="AB476" i="1"/>
  <c r="F476" i="1" s="1"/>
  <c r="V476" i="1" s="1"/>
  <c r="S476" i="1"/>
  <c r="G476" i="1"/>
  <c r="AM475" i="1"/>
  <c r="AL475" i="1"/>
  <c r="AK475" i="1"/>
  <c r="AJ475" i="1"/>
  <c r="AI475" i="1"/>
  <c r="AF475" i="1"/>
  <c r="AH475" i="1" s="1"/>
  <c r="AB475" i="1"/>
  <c r="F475" i="1" s="1"/>
  <c r="G475" i="1"/>
  <c r="AL474" i="1"/>
  <c r="AF474" i="1"/>
  <c r="V474" i="1"/>
  <c r="K474" i="1"/>
  <c r="G474" i="1"/>
  <c r="F474" i="1"/>
  <c r="AF473" i="1"/>
  <c r="AB473" i="1"/>
  <c r="F473" i="1" s="1"/>
  <c r="Q473" i="1"/>
  <c r="O473" i="1"/>
  <c r="G473" i="1"/>
  <c r="AF472" i="1"/>
  <c r="AB472" i="1"/>
  <c r="F472" i="1" s="1"/>
  <c r="Q472" i="1" s="1"/>
  <c r="O472" i="1"/>
  <c r="M472" i="1"/>
  <c r="I472" i="1"/>
  <c r="G472" i="1"/>
  <c r="AG471" i="1"/>
  <c r="AF471" i="1"/>
  <c r="AB471" i="1"/>
  <c r="F471" i="1" s="1"/>
  <c r="V471" i="1"/>
  <c r="U471" i="1"/>
  <c r="Q471" i="1"/>
  <c r="O471" i="1"/>
  <c r="G471" i="1"/>
  <c r="AL470" i="1"/>
  <c r="AK470" i="1"/>
  <c r="AJ470" i="1"/>
  <c r="AI470" i="1"/>
  <c r="AH470" i="1"/>
  <c r="AG470" i="1"/>
  <c r="AF470" i="1"/>
  <c r="AB470" i="1"/>
  <c r="U470" i="1"/>
  <c r="S470" i="1"/>
  <c r="M470" i="1"/>
  <c r="K470" i="1"/>
  <c r="I470" i="1"/>
  <c r="G470" i="1"/>
  <c r="AM470" i="1" s="1"/>
  <c r="F470" i="1"/>
  <c r="AH469" i="1"/>
  <c r="AG469" i="1"/>
  <c r="AF469" i="1"/>
  <c r="AB469" i="1"/>
  <c r="U469" i="1"/>
  <c r="S469" i="1"/>
  <c r="K469" i="1"/>
  <c r="I469" i="1"/>
  <c r="G469" i="1"/>
  <c r="F469" i="1"/>
  <c r="AM468" i="1"/>
  <c r="AL468" i="1"/>
  <c r="AK468" i="1"/>
  <c r="AJ468" i="1"/>
  <c r="AI468" i="1"/>
  <c r="AF468" i="1"/>
  <c r="AH468" i="1" s="1"/>
  <c r="AB468" i="1"/>
  <c r="F468" i="1" s="1"/>
  <c r="U468" i="1" s="1"/>
  <c r="G468" i="1"/>
  <c r="AK467" i="1"/>
  <c r="AH467" i="1"/>
  <c r="AG467" i="1"/>
  <c r="AF467" i="1"/>
  <c r="AB467" i="1"/>
  <c r="G467" i="1"/>
  <c r="F467" i="1"/>
  <c r="AF466" i="1"/>
  <c r="AB466" i="1"/>
  <c r="G466" i="1"/>
  <c r="F466" i="1"/>
  <c r="AL465" i="1"/>
  <c r="AK465" i="1"/>
  <c r="AH465" i="1"/>
  <c r="AF465" i="1"/>
  <c r="Z465" i="1"/>
  <c r="G465" i="1"/>
  <c r="F465" i="1"/>
  <c r="AF464" i="1"/>
  <c r="AB464" i="1"/>
  <c r="Z464" i="1"/>
  <c r="F464" i="1"/>
  <c r="AF463" i="1"/>
  <c r="AB463" i="1"/>
  <c r="F463" i="1" s="1"/>
  <c r="Z463" i="1"/>
  <c r="AL462" i="1"/>
  <c r="AK462" i="1"/>
  <c r="AJ462" i="1"/>
  <c r="AF462" i="1"/>
  <c r="AB462" i="1"/>
  <c r="F462" i="1" s="1"/>
  <c r="Z462" i="1"/>
  <c r="V462" i="1"/>
  <c r="O462" i="1"/>
  <c r="K462" i="1"/>
  <c r="I462" i="1"/>
  <c r="G462" i="1"/>
  <c r="AI461" i="1"/>
  <c r="AF461" i="1"/>
  <c r="AB461" i="1"/>
  <c r="Z461" i="1"/>
  <c r="V461" i="1"/>
  <c r="K461" i="1"/>
  <c r="G461" i="1"/>
  <c r="F461" i="1"/>
  <c r="AF460" i="1"/>
  <c r="Z460" i="1"/>
  <c r="V460" i="1"/>
  <c r="O460" i="1"/>
  <c r="K460" i="1"/>
  <c r="G460" i="1"/>
  <c r="F460" i="1"/>
  <c r="I460" i="1" s="1"/>
  <c r="AM459" i="1"/>
  <c r="AL459" i="1"/>
  <c r="AK459" i="1"/>
  <c r="AF459" i="1"/>
  <c r="AB459" i="1"/>
  <c r="F459" i="1" s="1"/>
  <c r="Q459" i="1" s="1"/>
  <c r="Z459" i="1"/>
  <c r="M459" i="1"/>
  <c r="G459" i="1"/>
  <c r="AF458" i="1"/>
  <c r="AB458" i="1"/>
  <c r="Z458" i="1"/>
  <c r="S458" i="1"/>
  <c r="M458" i="1"/>
  <c r="K458" i="1"/>
  <c r="I458" i="1"/>
  <c r="G458" i="1"/>
  <c r="F458" i="1"/>
  <c r="AL457" i="1"/>
  <c r="AK457" i="1"/>
  <c r="AJ457" i="1"/>
  <c r="AF457" i="1"/>
  <c r="AB457" i="1"/>
  <c r="F457" i="1" s="1"/>
  <c r="Z457" i="1"/>
  <c r="V457" i="1"/>
  <c r="U457" i="1"/>
  <c r="S457" i="1"/>
  <c r="Q457" i="1"/>
  <c r="M457" i="1"/>
  <c r="K457" i="1"/>
  <c r="G457" i="1"/>
  <c r="AL456" i="1"/>
  <c r="AK456" i="1"/>
  <c r="AJ456" i="1"/>
  <c r="AI456" i="1"/>
  <c r="AH456" i="1"/>
  <c r="AG456" i="1"/>
  <c r="AF456" i="1"/>
  <c r="AB456" i="1"/>
  <c r="F456" i="1" s="1"/>
  <c r="Z456" i="1"/>
  <c r="G456" i="1"/>
  <c r="AM456" i="1" s="1"/>
  <c r="AJ455" i="1"/>
  <c r="AI455" i="1"/>
  <c r="AH455" i="1"/>
  <c r="AF455" i="1"/>
  <c r="Z455" i="1"/>
  <c r="V455" i="1"/>
  <c r="U455" i="1"/>
  <c r="I455" i="1"/>
  <c r="G455" i="1"/>
  <c r="F455" i="1"/>
  <c r="AM454" i="1"/>
  <c r="AL454" i="1"/>
  <c r="AK454" i="1"/>
  <c r="AJ454" i="1"/>
  <c r="AI454" i="1"/>
  <c r="AH454" i="1"/>
  <c r="AG454" i="1"/>
  <c r="AF454" i="1"/>
  <c r="AB454" i="1"/>
  <c r="Z454" i="1"/>
  <c r="S454" i="1"/>
  <c r="O454" i="1"/>
  <c r="I454" i="1"/>
  <c r="G454" i="1"/>
  <c r="F454" i="1"/>
  <c r="AM453" i="1"/>
  <c r="AF453" i="1"/>
  <c r="AB453" i="1"/>
  <c r="Z453" i="1"/>
  <c r="V453" i="1"/>
  <c r="U453" i="1"/>
  <c r="S453" i="1"/>
  <c r="O453" i="1"/>
  <c r="M453" i="1"/>
  <c r="K453" i="1"/>
  <c r="G453" i="1"/>
  <c r="F453" i="1"/>
  <c r="AF452" i="1"/>
  <c r="Z452" i="1"/>
  <c r="V452" i="1"/>
  <c r="S452" i="1"/>
  <c r="Q452" i="1"/>
  <c r="O452" i="1"/>
  <c r="G452" i="1"/>
  <c r="F452" i="1"/>
  <c r="AF451" i="1"/>
  <c r="Z451" i="1"/>
  <c r="U451" i="1"/>
  <c r="Q451" i="1"/>
  <c r="I451" i="1"/>
  <c r="G451" i="1"/>
  <c r="F451" i="1"/>
  <c r="AF450" i="1"/>
  <c r="AB450" i="1"/>
  <c r="Z450" i="1"/>
  <c r="G450" i="1"/>
  <c r="F450" i="1"/>
  <c r="AL449" i="1"/>
  <c r="AK449" i="1"/>
  <c r="AJ449" i="1"/>
  <c r="AH449" i="1"/>
  <c r="AF449" i="1"/>
  <c r="AI449" i="1" s="1"/>
  <c r="AB449" i="1"/>
  <c r="Z449" i="1"/>
  <c r="U449" i="1"/>
  <c r="S449" i="1"/>
  <c r="Q449" i="1"/>
  <c r="O449" i="1"/>
  <c r="M449" i="1"/>
  <c r="I449" i="1"/>
  <c r="G449" i="1"/>
  <c r="AM449" i="1" s="1"/>
  <c r="F449" i="1"/>
  <c r="K449" i="1" s="1"/>
  <c r="AH448" i="1"/>
  <c r="AG448" i="1"/>
  <c r="AF448" i="1"/>
  <c r="AC448" i="1"/>
  <c r="AB448" i="1"/>
  <c r="Z448" i="1"/>
  <c r="V448" i="1"/>
  <c r="G448" i="1"/>
  <c r="F448" i="1"/>
  <c r="AM447" i="1"/>
  <c r="AK447" i="1"/>
  <c r="AI447" i="1"/>
  <c r="AG447" i="1"/>
  <c r="AF447" i="1"/>
  <c r="AJ447" i="1" s="1"/>
  <c r="Z447" i="1"/>
  <c r="V447" i="1"/>
  <c r="U447" i="1"/>
  <c r="M447" i="1"/>
  <c r="G447" i="1"/>
  <c r="F447" i="1"/>
  <c r="AG446" i="1"/>
  <c r="AF446" i="1"/>
  <c r="AC446" i="1"/>
  <c r="AB446" i="1"/>
  <c r="Z446" i="1"/>
  <c r="G446" i="1"/>
  <c r="F446" i="1"/>
  <c r="AK445" i="1"/>
  <c r="AF445" i="1"/>
  <c r="AC445" i="1"/>
  <c r="Z445" i="1"/>
  <c r="V445" i="1"/>
  <c r="K445" i="1"/>
  <c r="G445" i="1"/>
  <c r="F445" i="1"/>
  <c r="AL444" i="1"/>
  <c r="AK444" i="1"/>
  <c r="AJ444" i="1"/>
  <c r="AI444" i="1"/>
  <c r="AH444" i="1"/>
  <c r="AG444" i="1"/>
  <c r="AF444" i="1"/>
  <c r="AB444" i="1"/>
  <c r="F444" i="1" s="1"/>
  <c r="Z444" i="1"/>
  <c r="V444" i="1"/>
  <c r="U444" i="1"/>
  <c r="I444" i="1"/>
  <c r="G444" i="1"/>
  <c r="AM444" i="1" s="1"/>
  <c r="AL443" i="1"/>
  <c r="AJ443" i="1"/>
  <c r="AI443" i="1"/>
  <c r="AH443" i="1"/>
  <c r="AF443" i="1"/>
  <c r="AK443" i="1" s="1"/>
  <c r="AB443" i="1"/>
  <c r="F443" i="1" s="1"/>
  <c r="Q443" i="1" s="1"/>
  <c r="Z443" i="1"/>
  <c r="O443" i="1"/>
  <c r="I443" i="1"/>
  <c r="G443" i="1"/>
  <c r="AM443" i="1" s="1"/>
  <c r="AI442" i="1"/>
  <c r="AF442" i="1"/>
  <c r="AB442" i="1"/>
  <c r="F442" i="1" s="1"/>
  <c r="Z442" i="1"/>
  <c r="Q442" i="1"/>
  <c r="G442" i="1"/>
  <c r="AF441" i="1"/>
  <c r="AB441" i="1"/>
  <c r="F441" i="1" s="1"/>
  <c r="Z441" i="1"/>
  <c r="S441" i="1"/>
  <c r="O441" i="1"/>
  <c r="M441" i="1"/>
  <c r="K441" i="1"/>
  <c r="I441" i="1"/>
  <c r="G441" i="1"/>
  <c r="AM440" i="1"/>
  <c r="AL440" i="1"/>
  <c r="AK440" i="1"/>
  <c r="AH440" i="1"/>
  <c r="AF440" i="1"/>
  <c r="AB440" i="1"/>
  <c r="Z440" i="1"/>
  <c r="G440" i="1"/>
  <c r="F440" i="1"/>
  <c r="AL439" i="1"/>
  <c r="AK439" i="1"/>
  <c r="AI439" i="1"/>
  <c r="AH439" i="1"/>
  <c r="AG439" i="1"/>
  <c r="AF439" i="1"/>
  <c r="AJ439" i="1" s="1"/>
  <c r="AB439" i="1"/>
  <c r="Z439" i="1"/>
  <c r="U439" i="1"/>
  <c r="S439" i="1"/>
  <c r="Q439" i="1"/>
  <c r="O439" i="1"/>
  <c r="K439" i="1"/>
  <c r="I439" i="1"/>
  <c r="G439" i="1"/>
  <c r="F439" i="1"/>
  <c r="M439" i="1" s="1"/>
  <c r="AL438" i="1"/>
  <c r="AK438" i="1"/>
  <c r="AJ438" i="1"/>
  <c r="AI438" i="1"/>
  <c r="AH438" i="1"/>
  <c r="AG438" i="1"/>
  <c r="AF438" i="1"/>
  <c r="AB438" i="1"/>
  <c r="F438" i="1" s="1"/>
  <c r="Z438" i="1"/>
  <c r="Q438" i="1"/>
  <c r="O438" i="1"/>
  <c r="M438" i="1"/>
  <c r="K438" i="1"/>
  <c r="I438" i="1"/>
  <c r="G438" i="1"/>
  <c r="AL437" i="1"/>
  <c r="AK437" i="1"/>
  <c r="AF437" i="1"/>
  <c r="AB437" i="1"/>
  <c r="F437" i="1" s="1"/>
  <c r="Q437" i="1" s="1"/>
  <c r="Z437" i="1"/>
  <c r="S437" i="1"/>
  <c r="G437" i="1"/>
  <c r="AM437" i="1" s="1"/>
  <c r="AL436" i="1"/>
  <c r="AK436" i="1"/>
  <c r="AI436" i="1"/>
  <c r="AH436" i="1"/>
  <c r="AG436" i="1"/>
  <c r="AF436" i="1"/>
  <c r="AJ436" i="1" s="1"/>
  <c r="AB436" i="1"/>
  <c r="Z436" i="1"/>
  <c r="V436" i="1"/>
  <c r="U436" i="1"/>
  <c r="S436" i="1"/>
  <c r="I436" i="1"/>
  <c r="G436" i="1"/>
  <c r="AM436" i="1" s="1"/>
  <c r="F436" i="1"/>
  <c r="M436" i="1" s="1"/>
  <c r="AL435" i="1"/>
  <c r="AK435" i="1"/>
  <c r="AJ435" i="1"/>
  <c r="AI435" i="1"/>
  <c r="AH435" i="1"/>
  <c r="AG435" i="1"/>
  <c r="AF435" i="1"/>
  <c r="AB435" i="1"/>
  <c r="F435" i="1" s="1"/>
  <c r="S435" i="1" s="1"/>
  <c r="Z435" i="1"/>
  <c r="U435" i="1"/>
  <c r="Q435" i="1"/>
  <c r="O435" i="1"/>
  <c r="M435" i="1"/>
  <c r="K435" i="1"/>
  <c r="I435" i="1"/>
  <c r="G435" i="1"/>
  <c r="AM434" i="1"/>
  <c r="AH434" i="1"/>
  <c r="AG434" i="1"/>
  <c r="AF434" i="1"/>
  <c r="AI434" i="1" s="1"/>
  <c r="AB434" i="1"/>
  <c r="Z434" i="1"/>
  <c r="S434" i="1"/>
  <c r="O434" i="1"/>
  <c r="G434" i="1"/>
  <c r="F434" i="1"/>
  <c r="AL433" i="1"/>
  <c r="AK433" i="1"/>
  <c r="AI433" i="1"/>
  <c r="AF433" i="1"/>
  <c r="AJ433" i="1" s="1"/>
  <c r="AB433" i="1"/>
  <c r="Z433" i="1"/>
  <c r="S433" i="1"/>
  <c r="Q433" i="1"/>
  <c r="O433" i="1"/>
  <c r="G433" i="1"/>
  <c r="AM433" i="1" s="1"/>
  <c r="F433" i="1"/>
  <c r="AL432" i="1"/>
  <c r="AK432" i="1"/>
  <c r="AJ432" i="1"/>
  <c r="AI432" i="1"/>
  <c r="AH432" i="1"/>
  <c r="AG432" i="1"/>
  <c r="AF432" i="1"/>
  <c r="AB432" i="1"/>
  <c r="F432" i="1" s="1"/>
  <c r="Z432" i="1"/>
  <c r="G432" i="1"/>
  <c r="AM432" i="1" s="1"/>
  <c r="AF431" i="1"/>
  <c r="AB431" i="1"/>
  <c r="F431" i="1" s="1"/>
  <c r="Z431" i="1"/>
  <c r="G431" i="1"/>
  <c r="AM430" i="1"/>
  <c r="AL430" i="1"/>
  <c r="AK430" i="1"/>
  <c r="AI430" i="1"/>
  <c r="AF430" i="1"/>
  <c r="AJ430" i="1" s="1"/>
  <c r="AB430" i="1"/>
  <c r="Z430" i="1"/>
  <c r="V430" i="1"/>
  <c r="U430" i="1"/>
  <c r="S430" i="1"/>
  <c r="Q430" i="1"/>
  <c r="O430" i="1"/>
  <c r="K430" i="1"/>
  <c r="I430" i="1"/>
  <c r="G430" i="1"/>
  <c r="F430" i="1"/>
  <c r="M430" i="1" s="1"/>
  <c r="AL429" i="1"/>
  <c r="AK429" i="1"/>
  <c r="AJ429" i="1"/>
  <c r="AI429" i="1"/>
  <c r="AH429" i="1"/>
  <c r="AG429" i="1"/>
  <c r="AF429" i="1"/>
  <c r="AB429" i="1"/>
  <c r="F429" i="1" s="1"/>
  <c r="Z429" i="1"/>
  <c r="V429" i="1"/>
  <c r="M429" i="1"/>
  <c r="K429" i="1"/>
  <c r="I429" i="1"/>
  <c r="G429" i="1"/>
  <c r="AM429" i="1" s="1"/>
  <c r="AM428" i="1"/>
  <c r="AL428" i="1"/>
  <c r="AK428" i="1"/>
  <c r="AJ428" i="1"/>
  <c r="AH428" i="1"/>
  <c r="AF428" i="1"/>
  <c r="AI428" i="1" s="1"/>
  <c r="AB428" i="1"/>
  <c r="Z428" i="1"/>
  <c r="V428" i="1"/>
  <c r="S428" i="1"/>
  <c r="Q428" i="1"/>
  <c r="O428" i="1"/>
  <c r="M428" i="1"/>
  <c r="G428" i="1"/>
  <c r="F428" i="1"/>
  <c r="AI427" i="1"/>
  <c r="AG427" i="1"/>
  <c r="AF427" i="1"/>
  <c r="AB427" i="1"/>
  <c r="Z427" i="1"/>
  <c r="V427" i="1"/>
  <c r="U427" i="1"/>
  <c r="S427" i="1"/>
  <c r="G427" i="1"/>
  <c r="F427" i="1"/>
  <c r="AL426" i="1"/>
  <c r="AJ426" i="1"/>
  <c r="AG426" i="1"/>
  <c r="AF426" i="1"/>
  <c r="Z426" i="1"/>
  <c r="O426" i="1"/>
  <c r="K426" i="1"/>
  <c r="I426" i="1"/>
  <c r="G426" i="1"/>
  <c r="F426" i="1"/>
  <c r="AM425" i="1"/>
  <c r="AL425" i="1"/>
  <c r="AJ425" i="1"/>
  <c r="AG425" i="1"/>
  <c r="AF425" i="1"/>
  <c r="AK425" i="1" s="1"/>
  <c r="Z425" i="1"/>
  <c r="S425" i="1"/>
  <c r="Q425" i="1"/>
  <c r="O425" i="1"/>
  <c r="M425" i="1"/>
  <c r="G425" i="1"/>
  <c r="F425" i="1"/>
  <c r="AF424" i="1"/>
  <c r="AB424" i="1"/>
  <c r="Z424" i="1"/>
  <c r="G424" i="1"/>
  <c r="F424" i="1"/>
  <c r="AF423" i="1"/>
  <c r="AB423" i="1"/>
  <c r="F423" i="1" s="1"/>
  <c r="Z423" i="1"/>
  <c r="G423" i="1"/>
  <c r="AM422" i="1"/>
  <c r="AL422" i="1"/>
  <c r="AK422" i="1"/>
  <c r="AF422" i="1"/>
  <c r="AB422" i="1"/>
  <c r="F422" i="1" s="1"/>
  <c r="Z422" i="1"/>
  <c r="Q422" i="1"/>
  <c r="M422" i="1"/>
  <c r="G422" i="1"/>
  <c r="AM421" i="1"/>
  <c r="AL421" i="1"/>
  <c r="AK421" i="1"/>
  <c r="AJ421" i="1"/>
  <c r="AI421" i="1"/>
  <c r="AF421" i="1"/>
  <c r="AH421" i="1" s="1"/>
  <c r="AB421" i="1"/>
  <c r="F421" i="1" s="1"/>
  <c r="Z421" i="1"/>
  <c r="S421" i="1"/>
  <c r="Q421" i="1"/>
  <c r="O421" i="1"/>
  <c r="M421" i="1"/>
  <c r="K421" i="1"/>
  <c r="G421" i="1"/>
  <c r="AG420" i="1"/>
  <c r="AF420" i="1"/>
  <c r="AB420" i="1"/>
  <c r="F420" i="1" s="1"/>
  <c r="Z420" i="1"/>
  <c r="S420" i="1"/>
  <c r="O420" i="1"/>
  <c r="G420" i="1"/>
  <c r="AF419" i="1"/>
  <c r="AB419" i="1"/>
  <c r="Z419" i="1"/>
  <c r="G419" i="1"/>
  <c r="F419" i="1"/>
  <c r="AM418" i="1"/>
  <c r="AF418" i="1"/>
  <c r="AB418" i="1"/>
  <c r="Z418" i="1"/>
  <c r="G418" i="1"/>
  <c r="F418" i="1"/>
  <c r="AM417" i="1"/>
  <c r="AK417" i="1"/>
  <c r="AJ417" i="1"/>
  <c r="AI417" i="1"/>
  <c r="AH417" i="1"/>
  <c r="AF417" i="1"/>
  <c r="AL417" i="1" s="1"/>
  <c r="AB417" i="1"/>
  <c r="F417" i="1" s="1"/>
  <c r="Q417" i="1" s="1"/>
  <c r="Z417" i="1"/>
  <c r="U417" i="1"/>
  <c r="S417" i="1"/>
  <c r="O417" i="1"/>
  <c r="M417" i="1"/>
  <c r="K417" i="1"/>
  <c r="I417" i="1"/>
  <c r="G417" i="1"/>
  <c r="V417" i="1" s="1"/>
  <c r="AG416" i="1"/>
  <c r="AF416" i="1"/>
  <c r="AB416" i="1"/>
  <c r="F416" i="1" s="1"/>
  <c r="U416" i="1" s="1"/>
  <c r="Z416" i="1"/>
  <c r="V416" i="1"/>
  <c r="G416" i="1"/>
  <c r="AM415" i="1"/>
  <c r="AL415" i="1"/>
  <c r="AK415" i="1"/>
  <c r="AJ415" i="1"/>
  <c r="AI415" i="1"/>
  <c r="AF415" i="1"/>
  <c r="AH415" i="1" s="1"/>
  <c r="AB415" i="1"/>
  <c r="F415" i="1" s="1"/>
  <c r="V415" i="1" s="1"/>
  <c r="I415" i="1"/>
  <c r="G415" i="1"/>
  <c r="AK414" i="1"/>
  <c r="AF414" i="1"/>
  <c r="AB414" i="1"/>
  <c r="F414" i="1" s="1"/>
  <c r="G414" i="1"/>
  <c r="AM413" i="1"/>
  <c r="AL413" i="1"/>
  <c r="AK413" i="1"/>
  <c r="AJ413" i="1"/>
  <c r="AF413" i="1"/>
  <c r="AH413" i="1" s="1"/>
  <c r="AB413" i="1"/>
  <c r="F413" i="1" s="1"/>
  <c r="I413" i="1" s="1"/>
  <c r="V413" i="1"/>
  <c r="U413" i="1"/>
  <c r="S413" i="1"/>
  <c r="Q413" i="1"/>
  <c r="O413" i="1"/>
  <c r="M413" i="1"/>
  <c r="K413" i="1"/>
  <c r="G413" i="1"/>
  <c r="AL412" i="1"/>
  <c r="AK412" i="1"/>
  <c r="AG412" i="1"/>
  <c r="AF412" i="1"/>
  <c r="AB412" i="1"/>
  <c r="F412" i="1" s="1"/>
  <c r="M412" i="1" s="1"/>
  <c r="V412" i="1"/>
  <c r="O412" i="1"/>
  <c r="G412" i="1"/>
  <c r="AJ411" i="1"/>
  <c r="AF411" i="1"/>
  <c r="AB411" i="1"/>
  <c r="F411" i="1" s="1"/>
  <c r="Z411" i="1" s="1"/>
  <c r="U411" i="1"/>
  <c r="S411" i="1"/>
  <c r="O411" i="1"/>
  <c r="G411" i="1"/>
  <c r="AL410" i="1"/>
  <c r="AK410" i="1"/>
  <c r="AJ410" i="1"/>
  <c r="AI410" i="1"/>
  <c r="AG410" i="1"/>
  <c r="AF410" i="1"/>
  <c r="AB410" i="1"/>
  <c r="Z410" i="1"/>
  <c r="Q410" i="1"/>
  <c r="G410" i="1"/>
  <c r="F410" i="1"/>
  <c r="AF409" i="1"/>
  <c r="AB409" i="1"/>
  <c r="G409" i="1"/>
  <c r="F409" i="1"/>
  <c r="AK408" i="1"/>
  <c r="AJ408" i="1"/>
  <c r="AI408" i="1"/>
  <c r="AH408" i="1"/>
  <c r="AF408" i="1"/>
  <c r="AL408" i="1" s="1"/>
  <c r="AB408" i="1"/>
  <c r="S408" i="1"/>
  <c r="O408" i="1"/>
  <c r="M408" i="1"/>
  <c r="K408" i="1"/>
  <c r="I408" i="1"/>
  <c r="G408" i="1"/>
  <c r="AM408" i="1" s="1"/>
  <c r="F408" i="1"/>
  <c r="AM407" i="1"/>
  <c r="AL407" i="1"/>
  <c r="AF407" i="1"/>
  <c r="AB407" i="1"/>
  <c r="Z407" i="1"/>
  <c r="V407" i="1"/>
  <c r="U407" i="1"/>
  <c r="S407" i="1"/>
  <c r="Q407" i="1"/>
  <c r="O407" i="1"/>
  <c r="G407" i="1"/>
  <c r="F407" i="1"/>
  <c r="AI406" i="1"/>
  <c r="AH406" i="1"/>
  <c r="AG406" i="1"/>
  <c r="AF406" i="1"/>
  <c r="AM406" i="1" s="1"/>
  <c r="AB406" i="1"/>
  <c r="S406" i="1"/>
  <c r="Q406" i="1"/>
  <c r="O406" i="1"/>
  <c r="M406" i="1"/>
  <c r="G406" i="1"/>
  <c r="F406" i="1"/>
  <c r="AF405" i="1"/>
  <c r="AB405" i="1"/>
  <c r="G405" i="1"/>
  <c r="F405" i="1"/>
  <c r="AJ404" i="1"/>
  <c r="AI404" i="1"/>
  <c r="AG404" i="1"/>
  <c r="AF404" i="1"/>
  <c r="AH404" i="1" s="1"/>
  <c r="AB404" i="1"/>
  <c r="M404" i="1"/>
  <c r="K404" i="1"/>
  <c r="G404" i="1"/>
  <c r="F404" i="1"/>
  <c r="AI403" i="1"/>
  <c r="AH403" i="1"/>
  <c r="AG403" i="1"/>
  <c r="AF403" i="1"/>
  <c r="AB403" i="1"/>
  <c r="Q403" i="1"/>
  <c r="I403" i="1"/>
  <c r="G403" i="1"/>
  <c r="AM403" i="1" s="1"/>
  <c r="F403" i="1"/>
  <c r="AM402" i="1"/>
  <c r="AK402" i="1"/>
  <c r="AJ402" i="1"/>
  <c r="AI402" i="1"/>
  <c r="AH402" i="1"/>
  <c r="AG402" i="1"/>
  <c r="AF402" i="1"/>
  <c r="AL402" i="1" s="1"/>
  <c r="AB402" i="1"/>
  <c r="V402" i="1"/>
  <c r="U402" i="1"/>
  <c r="S402" i="1"/>
  <c r="O402" i="1"/>
  <c r="M402" i="1"/>
  <c r="K402" i="1"/>
  <c r="I402" i="1"/>
  <c r="G402" i="1"/>
  <c r="F402" i="1"/>
  <c r="AH401" i="1"/>
  <c r="AF401" i="1"/>
  <c r="Z401" i="1"/>
  <c r="V401" i="1"/>
  <c r="U401" i="1"/>
  <c r="S401" i="1"/>
  <c r="Q401" i="1"/>
  <c r="O401" i="1"/>
  <c r="M401" i="1"/>
  <c r="K401" i="1"/>
  <c r="I401" i="1"/>
  <c r="G401" i="1"/>
  <c r="AL400" i="1"/>
  <c r="AI400" i="1"/>
  <c r="AH400" i="1"/>
  <c r="AG400" i="1"/>
  <c r="AF400" i="1"/>
  <c r="AB400" i="1"/>
  <c r="K400" i="1"/>
  <c r="I400" i="1"/>
  <c r="G400" i="1"/>
  <c r="F400" i="1"/>
  <c r="S400" i="1" s="1"/>
  <c r="AG399" i="1"/>
  <c r="AF399" i="1"/>
  <c r="AB399" i="1"/>
  <c r="K399" i="1"/>
  <c r="I399" i="1"/>
  <c r="G399" i="1"/>
  <c r="F399" i="1"/>
  <c r="U399" i="1" s="1"/>
  <c r="AM398" i="1"/>
  <c r="AL398" i="1"/>
  <c r="AK398" i="1"/>
  <c r="AJ398" i="1"/>
  <c r="AI398" i="1"/>
  <c r="AF398" i="1"/>
  <c r="AH398" i="1" s="1"/>
  <c r="AB398" i="1"/>
  <c r="F398" i="1" s="1"/>
  <c r="I398" i="1" s="1"/>
  <c r="Z398" i="1"/>
  <c r="V398" i="1"/>
  <c r="U398" i="1"/>
  <c r="S398" i="1"/>
  <c r="Q398" i="1"/>
  <c r="O398" i="1"/>
  <c r="M398" i="1"/>
  <c r="K398" i="1"/>
  <c r="G398" i="1"/>
  <c r="AL397" i="1"/>
  <c r="AH397" i="1"/>
  <c r="AG397" i="1"/>
  <c r="AF397" i="1"/>
  <c r="G397" i="1"/>
  <c r="F397" i="1"/>
  <c r="AM396" i="1"/>
  <c r="AL396" i="1"/>
  <c r="AI396" i="1"/>
  <c r="AH396" i="1"/>
  <c r="AG396" i="1"/>
  <c r="AF396" i="1"/>
  <c r="AB396" i="1"/>
  <c r="S396" i="1"/>
  <c r="Q396" i="1"/>
  <c r="K396" i="1"/>
  <c r="G396" i="1"/>
  <c r="F396" i="1"/>
  <c r="AM395" i="1"/>
  <c r="AL395" i="1"/>
  <c r="AK395" i="1"/>
  <c r="AJ395" i="1"/>
  <c r="AI395" i="1"/>
  <c r="AH395" i="1"/>
  <c r="AF395" i="1"/>
  <c r="AG395" i="1" s="1"/>
  <c r="AB395" i="1"/>
  <c r="F395" i="1" s="1"/>
  <c r="Z395" i="1" s="1"/>
  <c r="G395" i="1"/>
  <c r="AL394" i="1"/>
  <c r="AK394" i="1"/>
  <c r="AJ394" i="1"/>
  <c r="AI394" i="1"/>
  <c r="AH394" i="1"/>
  <c r="AG394" i="1"/>
  <c r="AF394" i="1"/>
  <c r="AB394" i="1"/>
  <c r="G394" i="1"/>
  <c r="AM394" i="1" s="1"/>
  <c r="F394" i="1"/>
  <c r="AM393" i="1"/>
  <c r="AG393" i="1"/>
  <c r="AF393" i="1"/>
  <c r="AB393" i="1"/>
  <c r="F393" i="1" s="1"/>
  <c r="Z393" i="1"/>
  <c r="V393" i="1"/>
  <c r="U393" i="1"/>
  <c r="S393" i="1"/>
  <c r="G393" i="1"/>
  <c r="AM392" i="1"/>
  <c r="AL392" i="1"/>
  <c r="AK392" i="1"/>
  <c r="AJ392" i="1"/>
  <c r="AI392" i="1"/>
  <c r="AH392" i="1"/>
  <c r="AF392" i="1"/>
  <c r="AG392" i="1" s="1"/>
  <c r="AB392" i="1"/>
  <c r="F392" i="1" s="1"/>
  <c r="K392" i="1"/>
  <c r="I392" i="1"/>
  <c r="G392" i="1"/>
  <c r="AK391" i="1"/>
  <c r="AG391" i="1"/>
  <c r="AF391" i="1"/>
  <c r="AB391" i="1"/>
  <c r="F391" i="1" s="1"/>
  <c r="Z391" i="1" s="1"/>
  <c r="Q391" i="1"/>
  <c r="O391" i="1"/>
  <c r="M391" i="1"/>
  <c r="G391" i="1"/>
  <c r="AM390" i="1"/>
  <c r="AL390" i="1"/>
  <c r="AI390" i="1"/>
  <c r="AH390" i="1"/>
  <c r="AG390" i="1"/>
  <c r="AF390" i="1"/>
  <c r="AB390" i="1"/>
  <c r="Z390" i="1"/>
  <c r="V390" i="1"/>
  <c r="K390" i="1"/>
  <c r="G390" i="1"/>
  <c r="F390" i="1"/>
  <c r="AM389" i="1"/>
  <c r="AL389" i="1"/>
  <c r="AK389" i="1"/>
  <c r="AJ389" i="1"/>
  <c r="AI389" i="1"/>
  <c r="AH389" i="1"/>
  <c r="AF389" i="1"/>
  <c r="AG389" i="1" s="1"/>
  <c r="AB389" i="1"/>
  <c r="F389" i="1" s="1"/>
  <c r="Z389" i="1"/>
  <c r="Q389" i="1"/>
  <c r="G389" i="1"/>
  <c r="AF388" i="1"/>
  <c r="AB388" i="1"/>
  <c r="G388" i="1"/>
  <c r="F388" i="1"/>
  <c r="AF387" i="1"/>
  <c r="AB387" i="1"/>
  <c r="F387" i="1" s="1"/>
  <c r="G387" i="1"/>
  <c r="AL386" i="1"/>
  <c r="AK386" i="1"/>
  <c r="AJ386" i="1"/>
  <c r="AI386" i="1"/>
  <c r="AH386" i="1"/>
  <c r="AF386" i="1"/>
  <c r="AG386" i="1" s="1"/>
  <c r="AB386" i="1"/>
  <c r="Q386" i="1"/>
  <c r="G386" i="1"/>
  <c r="F386" i="1"/>
  <c r="AM385" i="1"/>
  <c r="AF385" i="1"/>
  <c r="AB385" i="1"/>
  <c r="F385" i="1" s="1"/>
  <c r="G385" i="1"/>
  <c r="AM384" i="1"/>
  <c r="AI384" i="1"/>
  <c r="AH384" i="1"/>
  <c r="AG384" i="1"/>
  <c r="AF384" i="1"/>
  <c r="AK384" i="1" s="1"/>
  <c r="AB384" i="1"/>
  <c r="S384" i="1"/>
  <c r="Q384" i="1"/>
  <c r="M384" i="1"/>
  <c r="G384" i="1"/>
  <c r="F384" i="1"/>
  <c r="U384" i="1" s="1"/>
  <c r="AM383" i="1"/>
  <c r="AI383" i="1"/>
  <c r="AH383" i="1"/>
  <c r="AF383" i="1"/>
  <c r="AB383" i="1"/>
  <c r="V383" i="1"/>
  <c r="U383" i="1"/>
  <c r="G383" i="1"/>
  <c r="F383" i="1"/>
  <c r="Z383" i="1" s="1"/>
  <c r="AL382" i="1"/>
  <c r="AK382" i="1"/>
  <c r="AJ382" i="1"/>
  <c r="AI382" i="1"/>
  <c r="AH382" i="1"/>
  <c r="AG382" i="1"/>
  <c r="AF382" i="1"/>
  <c r="Z382" i="1"/>
  <c r="U382" i="1"/>
  <c r="S382" i="1"/>
  <c r="Q382" i="1"/>
  <c r="M382" i="1"/>
  <c r="K382" i="1"/>
  <c r="I382" i="1"/>
  <c r="G382" i="1"/>
  <c r="AM381" i="1"/>
  <c r="AI381" i="1"/>
  <c r="AG381" i="1"/>
  <c r="AF381" i="1"/>
  <c r="Z381" i="1"/>
  <c r="V381" i="1"/>
  <c r="U381" i="1"/>
  <c r="S381" i="1"/>
  <c r="Q381" i="1"/>
  <c r="O381" i="1"/>
  <c r="M381" i="1"/>
  <c r="K381" i="1"/>
  <c r="I381" i="1"/>
  <c r="G381" i="1"/>
  <c r="AL380" i="1"/>
  <c r="AJ380" i="1"/>
  <c r="AI380" i="1"/>
  <c r="AH380" i="1"/>
  <c r="AG380" i="1"/>
  <c r="AF380" i="1"/>
  <c r="AK380" i="1" s="1"/>
  <c r="Z380" i="1"/>
  <c r="U380" i="1"/>
  <c r="S380" i="1"/>
  <c r="Q380" i="1"/>
  <c r="O380" i="1"/>
  <c r="M380" i="1"/>
  <c r="K380" i="1"/>
  <c r="I380" i="1"/>
  <c r="G380" i="1"/>
  <c r="AM379" i="1"/>
  <c r="AF379" i="1"/>
  <c r="Z379" i="1"/>
  <c r="V379" i="1"/>
  <c r="U379" i="1"/>
  <c r="S379" i="1"/>
  <c r="Q379" i="1"/>
  <c r="O379" i="1"/>
  <c r="M379" i="1"/>
  <c r="K379" i="1"/>
  <c r="I379" i="1"/>
  <c r="G379" i="1"/>
  <c r="AK378" i="1"/>
  <c r="AH378" i="1"/>
  <c r="AG378" i="1"/>
  <c r="AF378" i="1"/>
  <c r="Z378" i="1"/>
  <c r="U378" i="1"/>
  <c r="S378" i="1"/>
  <c r="Q378" i="1"/>
  <c r="O378" i="1"/>
  <c r="M378" i="1"/>
  <c r="K378" i="1"/>
  <c r="I378" i="1"/>
  <c r="G378" i="1"/>
  <c r="V378" i="1" s="1"/>
  <c r="AM377" i="1"/>
  <c r="AL377" i="1"/>
  <c r="AK377" i="1"/>
  <c r="AJ377" i="1"/>
  <c r="AI377" i="1"/>
  <c r="AH377" i="1"/>
  <c r="AG377" i="1"/>
  <c r="AF377" i="1"/>
  <c r="Z377" i="1"/>
  <c r="V377" i="1"/>
  <c r="U377" i="1"/>
  <c r="S377" i="1"/>
  <c r="Q377" i="1"/>
  <c r="O377" i="1"/>
  <c r="M377" i="1"/>
  <c r="K377" i="1"/>
  <c r="I377" i="1"/>
  <c r="G377" i="1"/>
  <c r="AJ376" i="1"/>
  <c r="AF376" i="1"/>
  <c r="Z376" i="1"/>
  <c r="V376" i="1"/>
  <c r="U376" i="1"/>
  <c r="S376" i="1"/>
  <c r="Q376" i="1"/>
  <c r="O376" i="1"/>
  <c r="M376" i="1"/>
  <c r="K376" i="1"/>
  <c r="I376" i="1"/>
  <c r="G376" i="1"/>
  <c r="AM375" i="1"/>
  <c r="AL375" i="1"/>
  <c r="AK375" i="1"/>
  <c r="AJ375" i="1"/>
  <c r="AI375" i="1"/>
  <c r="AH375" i="1"/>
  <c r="AG375" i="1"/>
  <c r="AF375" i="1"/>
  <c r="Z375" i="1"/>
  <c r="V375" i="1"/>
  <c r="U375" i="1"/>
  <c r="S375" i="1"/>
  <c r="Q375" i="1"/>
  <c r="O375" i="1"/>
  <c r="M375" i="1"/>
  <c r="K375" i="1"/>
  <c r="I375" i="1"/>
  <c r="G375" i="1"/>
  <c r="AG374" i="1"/>
  <c r="AF374" i="1"/>
  <c r="S374" i="1"/>
  <c r="Q374" i="1"/>
  <c r="G374" i="1"/>
  <c r="F374" i="1"/>
  <c r="Z374" i="1" s="1"/>
  <c r="AK373" i="1"/>
  <c r="AJ373" i="1"/>
  <c r="AI373" i="1"/>
  <c r="AH373" i="1"/>
  <c r="AF373" i="1"/>
  <c r="AG373" i="1" s="1"/>
  <c r="Z373" i="1"/>
  <c r="U373" i="1"/>
  <c r="S373" i="1"/>
  <c r="Q373" i="1"/>
  <c r="O373" i="1"/>
  <c r="M373" i="1"/>
  <c r="K373" i="1"/>
  <c r="I373" i="1"/>
  <c r="G373" i="1"/>
  <c r="V373" i="1" s="1"/>
  <c r="AL372" i="1"/>
  <c r="AF372" i="1"/>
  <c r="Z372" i="1"/>
  <c r="V372" i="1"/>
  <c r="U372" i="1"/>
  <c r="S372" i="1"/>
  <c r="Q372" i="1"/>
  <c r="O372" i="1"/>
  <c r="M372" i="1"/>
  <c r="K372" i="1"/>
  <c r="I372" i="1"/>
  <c r="G372" i="1"/>
  <c r="AL371" i="1"/>
  <c r="AK371" i="1"/>
  <c r="AJ371" i="1"/>
  <c r="AI371" i="1"/>
  <c r="AH371" i="1"/>
  <c r="AF371" i="1"/>
  <c r="AG371" i="1" s="1"/>
  <c r="Z371" i="1"/>
  <c r="U371" i="1"/>
  <c r="S371" i="1"/>
  <c r="Q371" i="1"/>
  <c r="O371" i="1"/>
  <c r="M371" i="1"/>
  <c r="K371" i="1"/>
  <c r="I371" i="1"/>
  <c r="G371" i="1"/>
  <c r="F371" i="1"/>
  <c r="AF370" i="1"/>
  <c r="AB370" i="1"/>
  <c r="F370" i="1" s="1"/>
  <c r="O370" i="1" s="1"/>
  <c r="Q370" i="1"/>
  <c r="M370" i="1"/>
  <c r="G370" i="1"/>
  <c r="AK369" i="1"/>
  <c r="AJ369" i="1"/>
  <c r="AF369" i="1"/>
  <c r="AI369" i="1" s="1"/>
  <c r="Z369" i="1"/>
  <c r="V369" i="1"/>
  <c r="U369" i="1"/>
  <c r="S369" i="1"/>
  <c r="Q369" i="1"/>
  <c r="O369" i="1"/>
  <c r="M369" i="1"/>
  <c r="K369" i="1"/>
  <c r="I369" i="1"/>
  <c r="G369" i="1"/>
  <c r="AF368" i="1"/>
  <c r="Z368" i="1"/>
  <c r="V368" i="1"/>
  <c r="S368" i="1"/>
  <c r="Q368" i="1"/>
  <c r="O368" i="1"/>
  <c r="M368" i="1"/>
  <c r="K368" i="1"/>
  <c r="I368" i="1"/>
  <c r="G368" i="1"/>
  <c r="F368" i="1"/>
  <c r="U368" i="1" s="1"/>
  <c r="AL367" i="1"/>
  <c r="AK367" i="1"/>
  <c r="AF367" i="1"/>
  <c r="Z367" i="1"/>
  <c r="V367" i="1"/>
  <c r="G367" i="1"/>
  <c r="F367" i="1"/>
  <c r="AM366" i="1"/>
  <c r="AL366" i="1"/>
  <c r="AK366" i="1"/>
  <c r="AJ366" i="1"/>
  <c r="AI366" i="1"/>
  <c r="AF366" i="1"/>
  <c r="AH366" i="1" s="1"/>
  <c r="Z366" i="1"/>
  <c r="V366" i="1"/>
  <c r="U366" i="1"/>
  <c r="S366" i="1"/>
  <c r="Q366" i="1"/>
  <c r="O366" i="1"/>
  <c r="M366" i="1"/>
  <c r="K366" i="1"/>
  <c r="I366" i="1"/>
  <c r="G366" i="1"/>
  <c r="AJ365" i="1"/>
  <c r="AI365" i="1"/>
  <c r="AH365" i="1"/>
  <c r="AG365" i="1"/>
  <c r="AF365" i="1"/>
  <c r="Z365" i="1"/>
  <c r="V365" i="1"/>
  <c r="U365" i="1"/>
  <c r="S365" i="1"/>
  <c r="Q365" i="1"/>
  <c r="O365" i="1"/>
  <c r="M365" i="1"/>
  <c r="K365" i="1"/>
  <c r="I365" i="1"/>
  <c r="G365" i="1"/>
  <c r="AL364" i="1"/>
  <c r="AK364" i="1"/>
  <c r="AJ364" i="1"/>
  <c r="AI364" i="1"/>
  <c r="AH364" i="1"/>
  <c r="AF364" i="1"/>
  <c r="AG364" i="1" s="1"/>
  <c r="Z364" i="1"/>
  <c r="U364" i="1"/>
  <c r="S364" i="1"/>
  <c r="Q364" i="1"/>
  <c r="O364" i="1"/>
  <c r="M364" i="1"/>
  <c r="K364" i="1"/>
  <c r="I364" i="1"/>
  <c r="G364" i="1"/>
  <c r="AI363" i="1"/>
  <c r="AH363" i="1"/>
  <c r="AG363" i="1"/>
  <c r="AF363" i="1"/>
  <c r="Z363" i="1"/>
  <c r="V363" i="1"/>
  <c r="U363" i="1"/>
  <c r="S363" i="1"/>
  <c r="Q363" i="1"/>
  <c r="O363" i="1"/>
  <c r="M363" i="1"/>
  <c r="K363" i="1"/>
  <c r="I363" i="1"/>
  <c r="G363" i="1"/>
  <c r="AL362" i="1"/>
  <c r="AK362" i="1"/>
  <c r="AJ362" i="1"/>
  <c r="AI362" i="1"/>
  <c r="AH362" i="1"/>
  <c r="AG362" i="1"/>
  <c r="AF362" i="1"/>
  <c r="AB362" i="1"/>
  <c r="V362" i="1"/>
  <c r="U362" i="1"/>
  <c r="S362" i="1"/>
  <c r="Q362" i="1"/>
  <c r="O362" i="1"/>
  <c r="M362" i="1"/>
  <c r="K362" i="1"/>
  <c r="I362" i="1"/>
  <c r="G362" i="1"/>
  <c r="AM362" i="1" s="1"/>
  <c r="F362" i="1"/>
  <c r="Z362" i="1" s="1"/>
  <c r="AI361" i="1"/>
  <c r="AH361" i="1"/>
  <c r="AG361" i="1"/>
  <c r="AF361" i="1"/>
  <c r="AJ361" i="1" s="1"/>
  <c r="AB361" i="1"/>
  <c r="U361" i="1"/>
  <c r="K361" i="1"/>
  <c r="G361" i="1"/>
  <c r="F361" i="1"/>
  <c r="AM360" i="1"/>
  <c r="AL360" i="1"/>
  <c r="AK360" i="1"/>
  <c r="AJ360" i="1"/>
  <c r="AH360" i="1"/>
  <c r="AG360" i="1"/>
  <c r="AF360" i="1"/>
  <c r="AI360" i="1" s="1"/>
  <c r="Z360" i="1"/>
  <c r="V360" i="1"/>
  <c r="U360" i="1"/>
  <c r="S360" i="1"/>
  <c r="Q360" i="1"/>
  <c r="O360" i="1"/>
  <c r="M360" i="1"/>
  <c r="K360" i="1"/>
  <c r="I360" i="1"/>
  <c r="G360" i="1"/>
  <c r="AJ359" i="1"/>
  <c r="AI359" i="1"/>
  <c r="AF359" i="1"/>
  <c r="AK359" i="1" s="1"/>
  <c r="Z359" i="1"/>
  <c r="V359" i="1"/>
  <c r="U359" i="1"/>
  <c r="S359" i="1"/>
  <c r="Q359" i="1"/>
  <c r="O359" i="1"/>
  <c r="M359" i="1"/>
  <c r="K359" i="1"/>
  <c r="I359" i="1"/>
  <c r="G359" i="1"/>
  <c r="AL358" i="1"/>
  <c r="AK358" i="1"/>
  <c r="AJ358" i="1"/>
  <c r="AH358" i="1"/>
  <c r="AG358" i="1"/>
  <c r="AF358" i="1"/>
  <c r="AI358" i="1" s="1"/>
  <c r="Z358" i="1"/>
  <c r="U358" i="1"/>
  <c r="S358" i="1"/>
  <c r="Q358" i="1"/>
  <c r="O358" i="1"/>
  <c r="M358" i="1"/>
  <c r="K358" i="1"/>
  <c r="I358" i="1"/>
  <c r="G358" i="1"/>
  <c r="AG357" i="1"/>
  <c r="AF357" i="1"/>
  <c r="Z357" i="1"/>
  <c r="V357" i="1"/>
  <c r="S357" i="1"/>
  <c r="Q357" i="1"/>
  <c r="O357" i="1"/>
  <c r="M357" i="1"/>
  <c r="K357" i="1"/>
  <c r="G357" i="1"/>
  <c r="F357" i="1"/>
  <c r="AF356" i="1"/>
  <c r="Z356" i="1"/>
  <c r="V356" i="1"/>
  <c r="U356" i="1"/>
  <c r="S356" i="1"/>
  <c r="Q356" i="1"/>
  <c r="O356" i="1"/>
  <c r="M356" i="1"/>
  <c r="K356" i="1"/>
  <c r="I356" i="1"/>
  <c r="G356" i="1"/>
  <c r="AM355" i="1"/>
  <c r="AL355" i="1"/>
  <c r="AK355" i="1"/>
  <c r="AJ355" i="1"/>
  <c r="AH355" i="1"/>
  <c r="AG355" i="1"/>
  <c r="AF355" i="1"/>
  <c r="AI355" i="1" s="1"/>
  <c r="Z355" i="1"/>
  <c r="U355" i="1"/>
  <c r="S355" i="1"/>
  <c r="Q355" i="1"/>
  <c r="O355" i="1"/>
  <c r="M355" i="1"/>
  <c r="K355" i="1"/>
  <c r="I355" i="1"/>
  <c r="G355" i="1"/>
  <c r="V355" i="1" s="1"/>
  <c r="AI354" i="1"/>
  <c r="AH354" i="1"/>
  <c r="AG354" i="1"/>
  <c r="AF354" i="1"/>
  <c r="AJ354" i="1" s="1"/>
  <c r="Z354" i="1"/>
  <c r="U354" i="1"/>
  <c r="S354" i="1"/>
  <c r="Q354" i="1"/>
  <c r="O354" i="1"/>
  <c r="M354" i="1"/>
  <c r="K354" i="1"/>
  <c r="I354" i="1"/>
  <c r="G354" i="1"/>
  <c r="AF353" i="1"/>
  <c r="Z353" i="1"/>
  <c r="U353" i="1"/>
  <c r="S353" i="1"/>
  <c r="Q353" i="1"/>
  <c r="O353" i="1"/>
  <c r="M353" i="1"/>
  <c r="K353" i="1"/>
  <c r="I353" i="1"/>
  <c r="G353" i="1"/>
  <c r="V353" i="1" s="1"/>
  <c r="AM352" i="1"/>
  <c r="AK352" i="1"/>
  <c r="AI352" i="1"/>
  <c r="AH352" i="1"/>
  <c r="AG352" i="1"/>
  <c r="AF352" i="1"/>
  <c r="Z352" i="1"/>
  <c r="V352" i="1"/>
  <c r="U352" i="1"/>
  <c r="S352" i="1"/>
  <c r="Q352" i="1"/>
  <c r="O352" i="1"/>
  <c r="M352" i="1"/>
  <c r="K352" i="1"/>
  <c r="I352" i="1"/>
  <c r="G352" i="1"/>
  <c r="AJ351" i="1"/>
  <c r="AI351" i="1"/>
  <c r="AF351" i="1"/>
  <c r="AM351" i="1" s="1"/>
  <c r="U351" i="1"/>
  <c r="S351" i="1"/>
  <c r="G351" i="1"/>
  <c r="F351" i="1"/>
  <c r="AJ350" i="1"/>
  <c r="AI350" i="1"/>
  <c r="AH350" i="1"/>
  <c r="AG350" i="1"/>
  <c r="AF350" i="1"/>
  <c r="AK350" i="1" s="1"/>
  <c r="AB350" i="1"/>
  <c r="U350" i="1"/>
  <c r="S350" i="1"/>
  <c r="I350" i="1"/>
  <c r="G350" i="1"/>
  <c r="F350" i="1"/>
  <c r="AM349" i="1"/>
  <c r="AJ349" i="1"/>
  <c r="AI349" i="1"/>
  <c r="AH349" i="1"/>
  <c r="AF349" i="1"/>
  <c r="AG349" i="1" s="1"/>
  <c r="AB349" i="1"/>
  <c r="Z349" i="1"/>
  <c r="V349" i="1"/>
  <c r="U349" i="1"/>
  <c r="S349" i="1"/>
  <c r="Q349" i="1"/>
  <c r="K349" i="1"/>
  <c r="I349" i="1"/>
  <c r="G349" i="1"/>
  <c r="F349" i="1"/>
  <c r="O349" i="1" s="1"/>
  <c r="AM348" i="1"/>
  <c r="AL348" i="1"/>
  <c r="AK348" i="1"/>
  <c r="AJ348" i="1"/>
  <c r="AI348" i="1"/>
  <c r="AH348" i="1"/>
  <c r="AG348" i="1"/>
  <c r="AF348" i="1"/>
  <c r="AB348" i="1"/>
  <c r="Z348" i="1"/>
  <c r="U348" i="1"/>
  <c r="O348" i="1"/>
  <c r="M348" i="1"/>
  <c r="K348" i="1"/>
  <c r="I348" i="1"/>
  <c r="F348" i="1"/>
  <c r="V348" i="1" s="1"/>
  <c r="AK347" i="1"/>
  <c r="AI347" i="1"/>
  <c r="AH347" i="1"/>
  <c r="AG347" i="1"/>
  <c r="AF347" i="1"/>
  <c r="AJ347" i="1" s="1"/>
  <c r="AB347" i="1"/>
  <c r="Z347" i="1"/>
  <c r="V347" i="1"/>
  <c r="U347" i="1"/>
  <c r="F347" i="1"/>
  <c r="AL346" i="1"/>
  <c r="AK346" i="1"/>
  <c r="AJ346" i="1"/>
  <c r="AI346" i="1"/>
  <c r="AH346" i="1"/>
  <c r="AG346" i="1"/>
  <c r="AF346" i="1"/>
  <c r="Z346" i="1"/>
  <c r="U346" i="1"/>
  <c r="S346" i="1"/>
  <c r="Q346" i="1"/>
  <c r="O346" i="1"/>
  <c r="M346" i="1"/>
  <c r="K346" i="1"/>
  <c r="I346" i="1"/>
  <c r="G346" i="1"/>
  <c r="AI345" i="1"/>
  <c r="AH345" i="1"/>
  <c r="AG345" i="1"/>
  <c r="AF345" i="1"/>
  <c r="AK345" i="1" s="1"/>
  <c r="Z345" i="1"/>
  <c r="U345" i="1"/>
  <c r="S345" i="1"/>
  <c r="Q345" i="1"/>
  <c r="O345" i="1"/>
  <c r="M345" i="1"/>
  <c r="K345" i="1"/>
  <c r="I345" i="1"/>
  <c r="G345" i="1"/>
  <c r="AI344" i="1"/>
  <c r="AH344" i="1"/>
  <c r="AG344" i="1"/>
  <c r="AF344" i="1"/>
  <c r="AL344" i="1" s="1"/>
  <c r="Z344" i="1"/>
  <c r="U344" i="1"/>
  <c r="S344" i="1"/>
  <c r="Q344" i="1"/>
  <c r="O344" i="1"/>
  <c r="M344" i="1"/>
  <c r="K344" i="1"/>
  <c r="I344" i="1"/>
  <c r="G344" i="1"/>
  <c r="V344" i="1" s="1"/>
  <c r="AG343" i="1"/>
  <c r="AF343" i="1"/>
  <c r="Z343" i="1"/>
  <c r="U343" i="1"/>
  <c r="S343" i="1"/>
  <c r="Q343" i="1"/>
  <c r="O343" i="1"/>
  <c r="M343" i="1"/>
  <c r="K343" i="1"/>
  <c r="I343" i="1"/>
  <c r="G343" i="1"/>
  <c r="V343" i="1" s="1"/>
  <c r="AL342" i="1"/>
  <c r="AH342" i="1"/>
  <c r="AF342" i="1"/>
  <c r="Z342" i="1"/>
  <c r="U342" i="1"/>
  <c r="S342" i="1"/>
  <c r="Q342" i="1"/>
  <c r="O342" i="1"/>
  <c r="M342" i="1"/>
  <c r="K342" i="1"/>
  <c r="I342" i="1"/>
  <c r="G342" i="1"/>
  <c r="V342" i="1" s="1"/>
  <c r="AM341" i="1"/>
  <c r="AF341" i="1"/>
  <c r="Z341" i="1"/>
  <c r="V341" i="1"/>
  <c r="U341" i="1"/>
  <c r="S341" i="1"/>
  <c r="Q341" i="1"/>
  <c r="O341" i="1"/>
  <c r="M341" i="1"/>
  <c r="K341" i="1"/>
  <c r="I341" i="1"/>
  <c r="G341" i="1"/>
  <c r="AL340" i="1"/>
  <c r="AK340" i="1"/>
  <c r="AF340" i="1"/>
  <c r="Z340" i="1"/>
  <c r="U340" i="1"/>
  <c r="S340" i="1"/>
  <c r="Q340" i="1"/>
  <c r="O340" i="1"/>
  <c r="M340" i="1"/>
  <c r="K340" i="1"/>
  <c r="I340" i="1"/>
  <c r="G340" i="1"/>
  <c r="V340" i="1" s="1"/>
  <c r="AL339" i="1"/>
  <c r="AK339" i="1"/>
  <c r="AI339" i="1"/>
  <c r="AH339" i="1"/>
  <c r="AG339" i="1"/>
  <c r="AF339" i="1"/>
  <c r="AJ339" i="1" s="1"/>
  <c r="Z339" i="1"/>
  <c r="U339" i="1"/>
  <c r="S339" i="1"/>
  <c r="Q339" i="1"/>
  <c r="O339" i="1"/>
  <c r="M339" i="1"/>
  <c r="K339" i="1"/>
  <c r="I339" i="1"/>
  <c r="G339" i="1"/>
  <c r="V339" i="1" s="1"/>
  <c r="AF338" i="1"/>
  <c r="AB338" i="1"/>
  <c r="G338" i="1"/>
  <c r="F338" i="1"/>
  <c r="AH337" i="1"/>
  <c r="AG337" i="1"/>
  <c r="AF337" i="1"/>
  <c r="Z337" i="1"/>
  <c r="U337" i="1"/>
  <c r="S337" i="1"/>
  <c r="Q337" i="1"/>
  <c r="O337" i="1"/>
  <c r="M337" i="1"/>
  <c r="K337" i="1"/>
  <c r="I337" i="1"/>
  <c r="G337" i="1"/>
  <c r="V337" i="1" s="1"/>
  <c r="AF336" i="1"/>
  <c r="AB336" i="1"/>
  <c r="G336" i="1"/>
  <c r="F336" i="1"/>
  <c r="AM335" i="1"/>
  <c r="AH335" i="1"/>
  <c r="AF335" i="1"/>
  <c r="AB335" i="1"/>
  <c r="S335" i="1"/>
  <c r="O335" i="1"/>
  <c r="G335" i="1"/>
  <c r="F335" i="1"/>
  <c r="AF334" i="1"/>
  <c r="AB334" i="1"/>
  <c r="G334" i="1"/>
  <c r="F334" i="1"/>
  <c r="AM333" i="1"/>
  <c r="AI333" i="1"/>
  <c r="AH333" i="1"/>
  <c r="AG333" i="1"/>
  <c r="AF333" i="1"/>
  <c r="AL333" i="1" s="1"/>
  <c r="AB333" i="1"/>
  <c r="S333" i="1"/>
  <c r="Q333" i="1"/>
  <c r="I333" i="1"/>
  <c r="G333" i="1"/>
  <c r="F333" i="1"/>
  <c r="AH332" i="1"/>
  <c r="AG332" i="1"/>
  <c r="AF332" i="1"/>
  <c r="AL332" i="1" s="1"/>
  <c r="AB332" i="1"/>
  <c r="G332" i="1"/>
  <c r="AM332" i="1" s="1"/>
  <c r="F332" i="1"/>
  <c r="AJ331" i="1"/>
  <c r="AI331" i="1"/>
  <c r="AG331" i="1"/>
  <c r="AF331" i="1"/>
  <c r="AH331" i="1" s="1"/>
  <c r="Z331" i="1"/>
  <c r="V331" i="1"/>
  <c r="U331" i="1"/>
  <c r="S331" i="1"/>
  <c r="Q331" i="1"/>
  <c r="O331" i="1"/>
  <c r="M331" i="1"/>
  <c r="K331" i="1"/>
  <c r="I331" i="1"/>
  <c r="G331" i="1"/>
  <c r="AL330" i="1"/>
  <c r="AH330" i="1"/>
  <c r="AG330" i="1"/>
  <c r="AF330" i="1"/>
  <c r="AK330" i="1" s="1"/>
  <c r="Z330" i="1"/>
  <c r="U330" i="1"/>
  <c r="S330" i="1"/>
  <c r="Q330" i="1"/>
  <c r="O330" i="1"/>
  <c r="M330" i="1"/>
  <c r="K330" i="1"/>
  <c r="I330" i="1"/>
  <c r="G330" i="1"/>
  <c r="AM329" i="1"/>
  <c r="AI329" i="1"/>
  <c r="AG329" i="1"/>
  <c r="AF329" i="1"/>
  <c r="Z329" i="1"/>
  <c r="V329" i="1"/>
  <c r="U329" i="1"/>
  <c r="S329" i="1"/>
  <c r="Q329" i="1"/>
  <c r="O329" i="1"/>
  <c r="M329" i="1"/>
  <c r="K329" i="1"/>
  <c r="I329" i="1"/>
  <c r="G329" i="1"/>
  <c r="AF328" i="1"/>
  <c r="Z328" i="1"/>
  <c r="U328" i="1"/>
  <c r="S328" i="1"/>
  <c r="Q328" i="1"/>
  <c r="O328" i="1"/>
  <c r="M328" i="1"/>
  <c r="K328" i="1"/>
  <c r="I328" i="1"/>
  <c r="G328" i="1"/>
  <c r="V328" i="1" s="1"/>
  <c r="AF327" i="1"/>
  <c r="Z327" i="1"/>
  <c r="V327" i="1"/>
  <c r="U327" i="1"/>
  <c r="S327" i="1"/>
  <c r="Q327" i="1"/>
  <c r="O327" i="1"/>
  <c r="M327" i="1"/>
  <c r="K327" i="1"/>
  <c r="I327" i="1"/>
  <c r="G327" i="1"/>
  <c r="AM326" i="1"/>
  <c r="AL326" i="1"/>
  <c r="AK326" i="1"/>
  <c r="AJ326" i="1"/>
  <c r="AF326" i="1"/>
  <c r="Z326" i="1"/>
  <c r="V326" i="1"/>
  <c r="U326" i="1"/>
  <c r="S326" i="1"/>
  <c r="Q326" i="1"/>
  <c r="O326" i="1"/>
  <c r="M326" i="1"/>
  <c r="K326" i="1"/>
  <c r="I326" i="1"/>
  <c r="G326" i="1"/>
  <c r="AF325" i="1"/>
  <c r="Z325" i="1"/>
  <c r="V325" i="1"/>
  <c r="U325" i="1"/>
  <c r="S325" i="1"/>
  <c r="Q325" i="1"/>
  <c r="O325" i="1"/>
  <c r="M325" i="1"/>
  <c r="K325" i="1"/>
  <c r="I325" i="1"/>
  <c r="G325" i="1"/>
  <c r="AM324" i="1"/>
  <c r="AL324" i="1"/>
  <c r="AK324" i="1"/>
  <c r="AJ324" i="1"/>
  <c r="AI324" i="1"/>
  <c r="AF324" i="1"/>
  <c r="AH324" i="1" s="1"/>
  <c r="Z324" i="1"/>
  <c r="V324" i="1"/>
  <c r="U324" i="1"/>
  <c r="S324" i="1"/>
  <c r="Q324" i="1"/>
  <c r="O324" i="1"/>
  <c r="M324" i="1"/>
  <c r="K324" i="1"/>
  <c r="I324" i="1"/>
  <c r="G324" i="1"/>
  <c r="AK323" i="1"/>
  <c r="AJ323" i="1"/>
  <c r="AF323" i="1"/>
  <c r="AH323" i="1" s="1"/>
  <c r="Z323" i="1"/>
  <c r="V323" i="1"/>
  <c r="U323" i="1"/>
  <c r="S323" i="1"/>
  <c r="Q323" i="1"/>
  <c r="O323" i="1"/>
  <c r="M323" i="1"/>
  <c r="K323" i="1"/>
  <c r="I323" i="1"/>
  <c r="G323" i="1"/>
  <c r="AL322" i="1"/>
  <c r="AK322" i="1"/>
  <c r="AJ322" i="1"/>
  <c r="AI322" i="1"/>
  <c r="AH322" i="1"/>
  <c r="AG322" i="1"/>
  <c r="AF322" i="1"/>
  <c r="AB322" i="1"/>
  <c r="F322" i="1" s="1"/>
  <c r="K322" i="1" s="1"/>
  <c r="Z322" i="1"/>
  <c r="V322" i="1"/>
  <c r="M322" i="1"/>
  <c r="G322" i="1"/>
  <c r="AM322" i="1" s="1"/>
  <c r="AK321" i="1"/>
  <c r="AI321" i="1"/>
  <c r="AF321" i="1"/>
  <c r="AJ321" i="1" s="1"/>
  <c r="Z321" i="1"/>
  <c r="U321" i="1"/>
  <c r="S321" i="1"/>
  <c r="I321" i="1"/>
  <c r="G321" i="1"/>
  <c r="V321" i="1" s="1"/>
  <c r="F321" i="1"/>
  <c r="K321" i="1" s="1"/>
  <c r="AI320" i="1"/>
  <c r="AH320" i="1"/>
  <c r="AF320" i="1"/>
  <c r="G320" i="1"/>
  <c r="F320" i="1"/>
  <c r="AM319" i="1"/>
  <c r="AF319" i="1"/>
  <c r="G319" i="1"/>
  <c r="AK318" i="1"/>
  <c r="AJ318" i="1"/>
  <c r="AI318" i="1"/>
  <c r="AH318" i="1"/>
  <c r="AG318" i="1"/>
  <c r="AF318" i="1"/>
  <c r="AL318" i="1" s="1"/>
  <c r="G318" i="1"/>
  <c r="AM318" i="1" s="1"/>
  <c r="AK317" i="1"/>
  <c r="AF317" i="1"/>
  <c r="AB317" i="1"/>
  <c r="F317" i="1" s="1"/>
  <c r="Z317" i="1" s="1"/>
  <c r="G317" i="1"/>
  <c r="AL316" i="1"/>
  <c r="AF316" i="1"/>
  <c r="AB316" i="1"/>
  <c r="V316" i="1"/>
  <c r="U316" i="1"/>
  <c r="G316" i="1"/>
  <c r="AM316" i="1" s="1"/>
  <c r="F316" i="1"/>
  <c r="AK315" i="1"/>
  <c r="AJ315" i="1"/>
  <c r="AI315" i="1"/>
  <c r="AH315" i="1"/>
  <c r="AG315" i="1"/>
  <c r="AF315" i="1"/>
  <c r="AL315" i="1" s="1"/>
  <c r="AB315" i="1"/>
  <c r="Z315" i="1"/>
  <c r="V315" i="1"/>
  <c r="U315" i="1"/>
  <c r="S315" i="1"/>
  <c r="O315" i="1"/>
  <c r="M315" i="1"/>
  <c r="K315" i="1"/>
  <c r="I315" i="1"/>
  <c r="G315" i="1"/>
  <c r="AM315" i="1" s="1"/>
  <c r="F315" i="1"/>
  <c r="Q315" i="1" s="1"/>
  <c r="AK314" i="1"/>
  <c r="AJ314" i="1"/>
  <c r="AF314" i="1"/>
  <c r="AB314" i="1"/>
  <c r="Z314" i="1"/>
  <c r="V314" i="1"/>
  <c r="O314" i="1"/>
  <c r="G314" i="1"/>
  <c r="F314" i="1"/>
  <c r="AM313" i="1"/>
  <c r="AL313" i="1"/>
  <c r="AF313" i="1"/>
  <c r="Z313" i="1"/>
  <c r="U313" i="1"/>
  <c r="S313" i="1"/>
  <c r="Q313" i="1"/>
  <c r="O313" i="1"/>
  <c r="M313" i="1"/>
  <c r="K313" i="1"/>
  <c r="I313" i="1"/>
  <c r="G313" i="1"/>
  <c r="V313" i="1" s="1"/>
  <c r="AG312" i="1"/>
  <c r="AF312" i="1"/>
  <c r="Z312" i="1"/>
  <c r="U312" i="1"/>
  <c r="S312" i="1"/>
  <c r="Q312" i="1"/>
  <c r="O312" i="1"/>
  <c r="M312" i="1"/>
  <c r="K312" i="1"/>
  <c r="I312" i="1"/>
  <c r="G312" i="1"/>
  <c r="V312" i="1" s="1"/>
  <c r="AM311" i="1"/>
  <c r="AL311" i="1"/>
  <c r="AK311" i="1"/>
  <c r="AG311" i="1"/>
  <c r="AF311" i="1"/>
  <c r="Z311" i="1"/>
  <c r="U311" i="1"/>
  <c r="S311" i="1"/>
  <c r="Q311" i="1"/>
  <c r="O311" i="1"/>
  <c r="M311" i="1"/>
  <c r="K311" i="1"/>
  <c r="I311" i="1"/>
  <c r="G311" i="1"/>
  <c r="V311" i="1" s="1"/>
  <c r="AF310" i="1"/>
  <c r="AB310" i="1"/>
  <c r="K310" i="1"/>
  <c r="G310" i="1"/>
  <c r="F310" i="1"/>
  <c r="AM309" i="1"/>
  <c r="AL309" i="1"/>
  <c r="AJ309" i="1"/>
  <c r="AI309" i="1"/>
  <c r="AH309" i="1"/>
  <c r="AG309" i="1"/>
  <c r="AF309" i="1"/>
  <c r="AK309" i="1" s="1"/>
  <c r="Z309" i="1"/>
  <c r="V309" i="1"/>
  <c r="U309" i="1"/>
  <c r="S309" i="1"/>
  <c r="Q309" i="1"/>
  <c r="O309" i="1"/>
  <c r="M309" i="1"/>
  <c r="K309" i="1"/>
  <c r="I309" i="1"/>
  <c r="G309" i="1"/>
  <c r="AK308" i="1"/>
  <c r="AJ308" i="1"/>
  <c r="AI308" i="1"/>
  <c r="AH308" i="1"/>
  <c r="AG308" i="1"/>
  <c r="AF308" i="1"/>
  <c r="AL308" i="1" s="1"/>
  <c r="Z308" i="1"/>
  <c r="U308" i="1"/>
  <c r="S308" i="1"/>
  <c r="Q308" i="1"/>
  <c r="O308" i="1"/>
  <c r="M308" i="1"/>
  <c r="K308" i="1"/>
  <c r="I308" i="1"/>
  <c r="G308" i="1"/>
  <c r="AM307" i="1"/>
  <c r="AL307" i="1"/>
  <c r="AJ307" i="1"/>
  <c r="AI307" i="1"/>
  <c r="AH307" i="1"/>
  <c r="AG307" i="1"/>
  <c r="AF307" i="1"/>
  <c r="AK307" i="1" s="1"/>
  <c r="AB307" i="1"/>
  <c r="F307" i="1" s="1"/>
  <c r="Z307" i="1"/>
  <c r="V307" i="1"/>
  <c r="U307" i="1"/>
  <c r="S307" i="1"/>
  <c r="K307" i="1"/>
  <c r="G307" i="1"/>
  <c r="AM306" i="1"/>
  <c r="AL306" i="1"/>
  <c r="AK306" i="1"/>
  <c r="AJ306" i="1"/>
  <c r="AI306" i="1"/>
  <c r="AF306" i="1"/>
  <c r="AH306" i="1" s="1"/>
  <c r="AB306" i="1"/>
  <c r="F306" i="1" s="1"/>
  <c r="Z306" i="1"/>
  <c r="Q306" i="1"/>
  <c r="M306" i="1"/>
  <c r="K306" i="1"/>
  <c r="G306" i="1"/>
  <c r="AH305" i="1"/>
  <c r="AF305" i="1"/>
  <c r="AB305" i="1"/>
  <c r="F305" i="1" s="1"/>
  <c r="K305" i="1"/>
  <c r="G305" i="1"/>
  <c r="AM304" i="1"/>
  <c r="AJ304" i="1"/>
  <c r="AI304" i="1"/>
  <c r="AH304" i="1"/>
  <c r="AG304" i="1"/>
  <c r="AF304" i="1"/>
  <c r="AL304" i="1" s="1"/>
  <c r="AB304" i="1"/>
  <c r="F304" i="1" s="1"/>
  <c r="G304" i="1"/>
  <c r="AM303" i="1"/>
  <c r="AL303" i="1"/>
  <c r="AK303" i="1"/>
  <c r="AJ303" i="1"/>
  <c r="AI303" i="1"/>
  <c r="AF303" i="1"/>
  <c r="AH303" i="1" s="1"/>
  <c r="AB303" i="1"/>
  <c r="F303" i="1" s="1"/>
  <c r="Z303" i="1"/>
  <c r="V303" i="1"/>
  <c r="K303" i="1"/>
  <c r="G303" i="1"/>
  <c r="AL302" i="1"/>
  <c r="AK302" i="1"/>
  <c r="AI302" i="1"/>
  <c r="AH302" i="1"/>
  <c r="AG302" i="1"/>
  <c r="AF302" i="1"/>
  <c r="AJ302" i="1" s="1"/>
  <c r="AB302" i="1"/>
  <c r="S302" i="1"/>
  <c r="Q302" i="1"/>
  <c r="O302" i="1"/>
  <c r="K302" i="1"/>
  <c r="I302" i="1"/>
  <c r="G302" i="1"/>
  <c r="AM302" i="1" s="1"/>
  <c r="F302" i="1"/>
  <c r="AM301" i="1"/>
  <c r="AJ301" i="1"/>
  <c r="AI301" i="1"/>
  <c r="AH301" i="1"/>
  <c r="AG301" i="1"/>
  <c r="AF301" i="1"/>
  <c r="AL301" i="1" s="1"/>
  <c r="Z301" i="1"/>
  <c r="V301" i="1"/>
  <c r="U301" i="1"/>
  <c r="S301" i="1"/>
  <c r="Q301" i="1"/>
  <c r="O301" i="1"/>
  <c r="M301" i="1"/>
  <c r="K301" i="1"/>
  <c r="I301" i="1"/>
  <c r="G301" i="1"/>
  <c r="AL300" i="1"/>
  <c r="AK300" i="1"/>
  <c r="AJ300" i="1"/>
  <c r="AI300" i="1"/>
  <c r="AH300" i="1"/>
  <c r="AG300" i="1"/>
  <c r="AF300" i="1"/>
  <c r="G300" i="1"/>
  <c r="AM300" i="1" s="1"/>
  <c r="F300" i="1"/>
  <c r="Q300" i="1" s="1"/>
  <c r="AJ299" i="1"/>
  <c r="AI299" i="1"/>
  <c r="AH299" i="1"/>
  <c r="AF299" i="1"/>
  <c r="Z299" i="1"/>
  <c r="V299" i="1"/>
  <c r="U299" i="1"/>
  <c r="S299" i="1"/>
  <c r="Q299" i="1"/>
  <c r="O299" i="1"/>
  <c r="M299" i="1"/>
  <c r="K299" i="1"/>
  <c r="I299" i="1"/>
  <c r="G299" i="1"/>
  <c r="AM298" i="1"/>
  <c r="AL298" i="1"/>
  <c r="AK298" i="1"/>
  <c r="AJ298" i="1"/>
  <c r="AI298" i="1"/>
  <c r="AH298" i="1"/>
  <c r="AG298" i="1"/>
  <c r="AF298" i="1"/>
  <c r="AB298" i="1"/>
  <c r="F298" i="1" s="1"/>
  <c r="V298" i="1" s="1"/>
  <c r="Z298" i="1"/>
  <c r="M298" i="1"/>
  <c r="I298" i="1"/>
  <c r="G298" i="1"/>
  <c r="AJ297" i="1"/>
  <c r="AH297" i="1"/>
  <c r="AG297" i="1"/>
  <c r="AF297" i="1"/>
  <c r="AL297" i="1" s="1"/>
  <c r="AB297" i="1"/>
  <c r="F297" i="1" s="1"/>
  <c r="O297" i="1"/>
  <c r="G297" i="1"/>
  <c r="AF296" i="1"/>
  <c r="Z296" i="1"/>
  <c r="V296" i="1"/>
  <c r="U296" i="1"/>
  <c r="S296" i="1"/>
  <c r="Q296" i="1"/>
  <c r="O296" i="1"/>
  <c r="M296" i="1"/>
  <c r="K296" i="1"/>
  <c r="I296" i="1"/>
  <c r="G296" i="1"/>
  <c r="AL295" i="1"/>
  <c r="AJ295" i="1"/>
  <c r="AI295" i="1"/>
  <c r="AH295" i="1"/>
  <c r="AG295" i="1"/>
  <c r="AF295" i="1"/>
  <c r="AK295" i="1" s="1"/>
  <c r="Z295" i="1"/>
  <c r="U295" i="1"/>
  <c r="S295" i="1"/>
  <c r="Q295" i="1"/>
  <c r="O295" i="1"/>
  <c r="M295" i="1"/>
  <c r="K295" i="1"/>
  <c r="I295" i="1"/>
  <c r="G295" i="1"/>
  <c r="AM294" i="1"/>
  <c r="AL294" i="1"/>
  <c r="AF294" i="1"/>
  <c r="AB294" i="1"/>
  <c r="Z294" i="1"/>
  <c r="V294" i="1"/>
  <c r="S294" i="1"/>
  <c r="G294" i="1"/>
  <c r="F294" i="1"/>
  <c r="AM293" i="1"/>
  <c r="AL293" i="1"/>
  <c r="AK293" i="1"/>
  <c r="AJ293" i="1"/>
  <c r="AI293" i="1"/>
  <c r="AH293" i="1"/>
  <c r="AG293" i="1"/>
  <c r="AF293" i="1"/>
  <c r="AB293" i="1"/>
  <c r="F293" i="1" s="1"/>
  <c r="S293" i="1" s="1"/>
  <c r="Z293" i="1"/>
  <c r="V293" i="1"/>
  <c r="U293" i="1"/>
  <c r="M293" i="1"/>
  <c r="K293" i="1"/>
  <c r="I293" i="1"/>
  <c r="G293" i="1"/>
  <c r="AF292" i="1"/>
  <c r="AH292" i="1" s="1"/>
  <c r="M292" i="1"/>
  <c r="K292" i="1"/>
  <c r="G292" i="1"/>
  <c r="F292" i="1"/>
  <c r="Z292" i="1" s="1"/>
  <c r="AM291" i="1"/>
  <c r="AK291" i="1"/>
  <c r="AF291" i="1"/>
  <c r="AB291" i="1"/>
  <c r="S291" i="1"/>
  <c r="Q291" i="1"/>
  <c r="O291" i="1"/>
  <c r="G291" i="1"/>
  <c r="F291" i="1"/>
  <c r="AK290" i="1"/>
  <c r="AJ290" i="1"/>
  <c r="AI290" i="1"/>
  <c r="AH290" i="1"/>
  <c r="AG290" i="1"/>
  <c r="AF290" i="1"/>
  <c r="AL290" i="1" s="1"/>
  <c r="U290" i="1"/>
  <c r="S290" i="1"/>
  <c r="Q290" i="1"/>
  <c r="K290" i="1"/>
  <c r="G290" i="1"/>
  <c r="AM290" i="1" s="1"/>
  <c r="F290" i="1"/>
  <c r="AJ289" i="1"/>
  <c r="AF289" i="1"/>
  <c r="AB289" i="1"/>
  <c r="F289" i="1" s="1"/>
  <c r="Z289" i="1"/>
  <c r="I289" i="1"/>
  <c r="G289" i="1"/>
  <c r="AJ288" i="1"/>
  <c r="AF288" i="1"/>
  <c r="AB288" i="1"/>
  <c r="F288" i="1" s="1"/>
  <c r="U288" i="1"/>
  <c r="Q288" i="1"/>
  <c r="O288" i="1"/>
  <c r="M288" i="1"/>
  <c r="G288" i="1"/>
  <c r="AL287" i="1"/>
  <c r="AJ287" i="1"/>
  <c r="AI287" i="1"/>
  <c r="AH287" i="1"/>
  <c r="AG287" i="1"/>
  <c r="AF287" i="1"/>
  <c r="AK287" i="1" s="1"/>
  <c r="AB287" i="1"/>
  <c r="G287" i="1"/>
  <c r="AM287" i="1" s="1"/>
  <c r="F287" i="1"/>
  <c r="AF286" i="1"/>
  <c r="Z286" i="1"/>
  <c r="U286" i="1"/>
  <c r="S286" i="1"/>
  <c r="Q286" i="1"/>
  <c r="O286" i="1"/>
  <c r="M286" i="1"/>
  <c r="K286" i="1"/>
  <c r="I286" i="1"/>
  <c r="G286" i="1"/>
  <c r="V286" i="1" s="1"/>
  <c r="AL285" i="1"/>
  <c r="AK285" i="1"/>
  <c r="AJ285" i="1"/>
  <c r="AI285" i="1"/>
  <c r="AH285" i="1"/>
  <c r="AG285" i="1"/>
  <c r="AF285" i="1"/>
  <c r="Z285" i="1"/>
  <c r="V285" i="1"/>
  <c r="U285" i="1"/>
  <c r="S285" i="1"/>
  <c r="Q285" i="1"/>
  <c r="O285" i="1"/>
  <c r="M285" i="1"/>
  <c r="K285" i="1"/>
  <c r="I285" i="1"/>
  <c r="G285" i="1"/>
  <c r="AM285" i="1" s="1"/>
  <c r="AJ284" i="1"/>
  <c r="AI284" i="1"/>
  <c r="AH284" i="1"/>
  <c r="AF284" i="1"/>
  <c r="AK284" i="1" s="1"/>
  <c r="Z284" i="1"/>
  <c r="U284" i="1"/>
  <c r="S284" i="1"/>
  <c r="Q284" i="1"/>
  <c r="O284" i="1"/>
  <c r="M284" i="1"/>
  <c r="K284" i="1"/>
  <c r="I284" i="1"/>
  <c r="G284" i="1"/>
  <c r="V284" i="1" s="1"/>
  <c r="AL283" i="1"/>
  <c r="AK283" i="1"/>
  <c r="AJ283" i="1"/>
  <c r="AI283" i="1"/>
  <c r="AH283" i="1"/>
  <c r="AG283" i="1"/>
  <c r="AF283" i="1"/>
  <c r="Z283" i="1"/>
  <c r="U283" i="1"/>
  <c r="S283" i="1"/>
  <c r="Q283" i="1"/>
  <c r="O283" i="1"/>
  <c r="M283" i="1"/>
  <c r="K283" i="1"/>
  <c r="I283" i="1"/>
  <c r="G283" i="1"/>
  <c r="AJ282" i="1"/>
  <c r="AI282" i="1"/>
  <c r="AH282" i="1"/>
  <c r="AG282" i="1"/>
  <c r="AF282" i="1"/>
  <c r="AB282" i="1"/>
  <c r="F282" i="1" s="1"/>
  <c r="Z282" i="1"/>
  <c r="G282" i="1"/>
  <c r="V282" i="1" s="1"/>
  <c r="AM281" i="1"/>
  <c r="AL281" i="1"/>
  <c r="AK281" i="1"/>
  <c r="AI281" i="1"/>
  <c r="AH281" i="1"/>
  <c r="AG281" i="1"/>
  <c r="AF281" i="1"/>
  <c r="AB281" i="1"/>
  <c r="F281" i="1" s="1"/>
  <c r="U281" i="1"/>
  <c r="I281" i="1"/>
  <c r="G281" i="1"/>
  <c r="AM280" i="1"/>
  <c r="AF280" i="1"/>
  <c r="AB280" i="1"/>
  <c r="F280" i="1" s="1"/>
  <c r="G280" i="1"/>
  <c r="AL279" i="1"/>
  <c r="AK279" i="1"/>
  <c r="AH279" i="1"/>
  <c r="AG279" i="1"/>
  <c r="AF279" i="1"/>
  <c r="AB279" i="1"/>
  <c r="U279" i="1"/>
  <c r="S279" i="1"/>
  <c r="G279" i="1"/>
  <c r="AM279" i="1" s="1"/>
  <c r="F279" i="1"/>
  <c r="AM278" i="1"/>
  <c r="AL278" i="1"/>
  <c r="AK278" i="1"/>
  <c r="AJ278" i="1"/>
  <c r="AI278" i="1"/>
  <c r="AH278" i="1"/>
  <c r="AG278" i="1"/>
  <c r="AF278" i="1"/>
  <c r="AB278" i="1"/>
  <c r="Z278" i="1"/>
  <c r="V278" i="1"/>
  <c r="U278" i="1"/>
  <c r="S278" i="1"/>
  <c r="Q278" i="1"/>
  <c r="O278" i="1"/>
  <c r="M278" i="1"/>
  <c r="K278" i="1"/>
  <c r="I278" i="1"/>
  <c r="G278" i="1"/>
  <c r="F278" i="1"/>
  <c r="AL277" i="1"/>
  <c r="AK277" i="1"/>
  <c r="AJ277" i="1"/>
  <c r="AI277" i="1"/>
  <c r="AG277" i="1"/>
  <c r="AF277" i="1"/>
  <c r="AB277" i="1"/>
  <c r="Q277" i="1"/>
  <c r="O277" i="1"/>
  <c r="M277" i="1"/>
  <c r="K277" i="1"/>
  <c r="G277" i="1"/>
  <c r="V277" i="1" s="1"/>
  <c r="F277" i="1"/>
  <c r="AM276" i="1"/>
  <c r="AF276" i="1"/>
  <c r="AB276" i="1"/>
  <c r="F276" i="1" s="1"/>
  <c r="Z276" i="1"/>
  <c r="V276" i="1"/>
  <c r="U276" i="1"/>
  <c r="O276" i="1"/>
  <c r="G276" i="1"/>
  <c r="AL275" i="1"/>
  <c r="AJ275" i="1"/>
  <c r="AF275" i="1"/>
  <c r="AB275" i="1"/>
  <c r="V275" i="1"/>
  <c r="Q275" i="1"/>
  <c r="O275" i="1"/>
  <c r="M275" i="1"/>
  <c r="K275" i="1"/>
  <c r="I275" i="1"/>
  <c r="G275" i="1"/>
  <c r="F275" i="1"/>
  <c r="Z275" i="1" s="1"/>
  <c r="AK274" i="1"/>
  <c r="AJ274" i="1"/>
  <c r="AI274" i="1"/>
  <c r="AF274" i="1"/>
  <c r="Z274" i="1"/>
  <c r="V274" i="1"/>
  <c r="U274" i="1"/>
  <c r="S274" i="1"/>
  <c r="Q274" i="1"/>
  <c r="O274" i="1"/>
  <c r="M274" i="1"/>
  <c r="K274" i="1"/>
  <c r="I274" i="1"/>
  <c r="G274" i="1"/>
  <c r="AL273" i="1"/>
  <c r="AK273" i="1"/>
  <c r="AJ273" i="1"/>
  <c r="AI273" i="1"/>
  <c r="AH273" i="1"/>
  <c r="AG273" i="1"/>
  <c r="AF273" i="1"/>
  <c r="Z273" i="1"/>
  <c r="U273" i="1"/>
  <c r="S273" i="1"/>
  <c r="Q273" i="1"/>
  <c r="O273" i="1"/>
  <c r="M273" i="1"/>
  <c r="K273" i="1"/>
  <c r="I273" i="1"/>
  <c r="G273" i="1"/>
  <c r="AM272" i="1"/>
  <c r="AK272" i="1"/>
  <c r="AJ272" i="1"/>
  <c r="AI272" i="1"/>
  <c r="AH272" i="1"/>
  <c r="AG272" i="1"/>
  <c r="AF272" i="1"/>
  <c r="AL272" i="1" s="1"/>
  <c r="Z272" i="1"/>
  <c r="V272" i="1"/>
  <c r="U272" i="1"/>
  <c r="S272" i="1"/>
  <c r="Q272" i="1"/>
  <c r="O272" i="1"/>
  <c r="M272" i="1"/>
  <c r="K272" i="1"/>
  <c r="I272" i="1"/>
  <c r="G272" i="1"/>
  <c r="AL271" i="1"/>
  <c r="AK271" i="1"/>
  <c r="AJ271" i="1"/>
  <c r="AI271" i="1"/>
  <c r="AH271" i="1"/>
  <c r="AG271" i="1"/>
  <c r="AF271" i="1"/>
  <c r="Z271" i="1"/>
  <c r="U271" i="1"/>
  <c r="S271" i="1"/>
  <c r="Q271" i="1"/>
  <c r="O271" i="1"/>
  <c r="M271" i="1"/>
  <c r="K271" i="1"/>
  <c r="I271" i="1"/>
  <c r="G271" i="1"/>
  <c r="AK270" i="1"/>
  <c r="AI270" i="1"/>
  <c r="AH270" i="1"/>
  <c r="AG270" i="1"/>
  <c r="AF270" i="1"/>
  <c r="AL270" i="1" s="1"/>
  <c r="AB270" i="1"/>
  <c r="G270" i="1"/>
  <c r="AM270" i="1" s="1"/>
  <c r="F270" i="1"/>
  <c r="AK269" i="1"/>
  <c r="AI269" i="1"/>
  <c r="AF269" i="1"/>
  <c r="AB269" i="1"/>
  <c r="V269" i="1"/>
  <c r="U269" i="1"/>
  <c r="K269" i="1"/>
  <c r="G269" i="1"/>
  <c r="F269" i="1"/>
  <c r="AL268" i="1"/>
  <c r="AK268" i="1"/>
  <c r="AJ268" i="1"/>
  <c r="AI268" i="1"/>
  <c r="AH268" i="1"/>
  <c r="AG268" i="1"/>
  <c r="AF268" i="1"/>
  <c r="AB268" i="1"/>
  <c r="F268" i="1" s="1"/>
  <c r="V268" i="1"/>
  <c r="U268" i="1"/>
  <c r="S268" i="1"/>
  <c r="O268" i="1"/>
  <c r="I268" i="1"/>
  <c r="G268" i="1"/>
  <c r="AM268" i="1" s="1"/>
  <c r="AK267" i="1"/>
  <c r="AH267" i="1"/>
  <c r="AG267" i="1"/>
  <c r="AF267" i="1"/>
  <c r="Z267" i="1"/>
  <c r="U267" i="1"/>
  <c r="S267" i="1"/>
  <c r="Q267" i="1"/>
  <c r="O267" i="1"/>
  <c r="M267" i="1"/>
  <c r="K267" i="1"/>
  <c r="I267" i="1"/>
  <c r="G267" i="1"/>
  <c r="V267" i="1" s="1"/>
  <c r="AM266" i="1"/>
  <c r="AL266" i="1"/>
  <c r="AK266" i="1"/>
  <c r="AJ266" i="1"/>
  <c r="AI266" i="1"/>
  <c r="AH266" i="1"/>
  <c r="AG266" i="1"/>
  <c r="AF266" i="1"/>
  <c r="Z266" i="1"/>
  <c r="V266" i="1"/>
  <c r="U266" i="1"/>
  <c r="S266" i="1"/>
  <c r="Q266" i="1"/>
  <c r="O266" i="1"/>
  <c r="M266" i="1"/>
  <c r="K266" i="1"/>
  <c r="I266" i="1"/>
  <c r="G266" i="1"/>
  <c r="AJ265" i="1"/>
  <c r="AI265" i="1"/>
  <c r="AH265" i="1"/>
  <c r="AG265" i="1"/>
  <c r="AF265" i="1"/>
  <c r="Z265" i="1"/>
  <c r="U265" i="1"/>
  <c r="S265" i="1"/>
  <c r="Q265" i="1"/>
  <c r="O265" i="1"/>
  <c r="M265" i="1"/>
  <c r="K265" i="1"/>
  <c r="I265" i="1"/>
  <c r="G265" i="1"/>
  <c r="V265" i="1" s="1"/>
  <c r="AL264" i="1"/>
  <c r="AK264" i="1"/>
  <c r="AJ264" i="1"/>
  <c r="AI264" i="1"/>
  <c r="AH264" i="1"/>
  <c r="AG264" i="1"/>
  <c r="AF264" i="1"/>
  <c r="Z264" i="1"/>
  <c r="U264" i="1"/>
  <c r="S264" i="1"/>
  <c r="Q264" i="1"/>
  <c r="O264" i="1"/>
  <c r="M264" i="1"/>
  <c r="K264" i="1"/>
  <c r="I264" i="1"/>
  <c r="G264" i="1"/>
  <c r="AM263" i="1"/>
  <c r="AF263" i="1"/>
  <c r="AB263" i="1"/>
  <c r="F263" i="1" s="1"/>
  <c r="Z263" i="1"/>
  <c r="U263" i="1"/>
  <c r="S263" i="1"/>
  <c r="I263" i="1"/>
  <c r="G263" i="1"/>
  <c r="AL262" i="1"/>
  <c r="AI262" i="1"/>
  <c r="AF262" i="1"/>
  <c r="Z262" i="1"/>
  <c r="V262" i="1"/>
  <c r="U262" i="1"/>
  <c r="S262" i="1"/>
  <c r="Q262" i="1"/>
  <c r="O262" i="1"/>
  <c r="M262" i="1"/>
  <c r="K262" i="1"/>
  <c r="I262" i="1"/>
  <c r="G262" i="1"/>
  <c r="AF261" i="1"/>
  <c r="Z261" i="1"/>
  <c r="U261" i="1"/>
  <c r="S261" i="1"/>
  <c r="Q261" i="1"/>
  <c r="O261" i="1"/>
  <c r="M261" i="1"/>
  <c r="K261" i="1"/>
  <c r="I261" i="1"/>
  <c r="G261" i="1"/>
  <c r="V261" i="1" s="1"/>
  <c r="AM260" i="1"/>
  <c r="AL260" i="1"/>
  <c r="AK260" i="1"/>
  <c r="AJ260" i="1"/>
  <c r="AF260" i="1"/>
  <c r="AB260" i="1"/>
  <c r="U260" i="1"/>
  <c r="S260" i="1"/>
  <c r="G260" i="1"/>
  <c r="F260" i="1"/>
  <c r="AI259" i="1"/>
  <c r="AF259" i="1"/>
  <c r="Z259" i="1"/>
  <c r="U259" i="1"/>
  <c r="S259" i="1"/>
  <c r="Q259" i="1"/>
  <c r="O259" i="1"/>
  <c r="M259" i="1"/>
  <c r="K259" i="1"/>
  <c r="I259" i="1"/>
  <c r="G259" i="1"/>
  <c r="V259" i="1" s="1"/>
  <c r="AF258" i="1"/>
  <c r="Z258" i="1"/>
  <c r="V258" i="1"/>
  <c r="U258" i="1"/>
  <c r="S258" i="1"/>
  <c r="Q258" i="1"/>
  <c r="O258" i="1"/>
  <c r="M258" i="1"/>
  <c r="K258" i="1"/>
  <c r="I258" i="1"/>
  <c r="G258" i="1"/>
  <c r="AL257" i="1"/>
  <c r="AK257" i="1"/>
  <c r="AF257" i="1"/>
  <c r="Z257" i="1"/>
  <c r="U257" i="1"/>
  <c r="S257" i="1"/>
  <c r="Q257" i="1"/>
  <c r="O257" i="1"/>
  <c r="M257" i="1"/>
  <c r="K257" i="1"/>
  <c r="I257" i="1"/>
  <c r="G257" i="1"/>
  <c r="V257" i="1" s="1"/>
  <c r="AI256" i="1"/>
  <c r="AH256" i="1"/>
  <c r="AF256" i="1"/>
  <c r="Z256" i="1"/>
  <c r="U256" i="1"/>
  <c r="S256" i="1"/>
  <c r="Q256" i="1"/>
  <c r="O256" i="1"/>
  <c r="M256" i="1"/>
  <c r="K256" i="1"/>
  <c r="I256" i="1"/>
  <c r="G256" i="1"/>
  <c r="V256" i="1" s="1"/>
  <c r="AL255" i="1"/>
  <c r="AK255" i="1"/>
  <c r="AJ255" i="1"/>
  <c r="AI255" i="1"/>
  <c r="AH255" i="1"/>
  <c r="AG255" i="1"/>
  <c r="AF255" i="1"/>
  <c r="Z255" i="1"/>
  <c r="U255" i="1"/>
  <c r="S255" i="1"/>
  <c r="Q255" i="1"/>
  <c r="O255" i="1"/>
  <c r="M255" i="1"/>
  <c r="K255" i="1"/>
  <c r="I255" i="1"/>
  <c r="G255" i="1"/>
  <c r="AG254" i="1"/>
  <c r="AF254" i="1"/>
  <c r="Z254" i="1"/>
  <c r="V254" i="1"/>
  <c r="U254" i="1"/>
  <c r="S254" i="1"/>
  <c r="Q254" i="1"/>
  <c r="O254" i="1"/>
  <c r="M254" i="1"/>
  <c r="K254" i="1"/>
  <c r="I254" i="1"/>
  <c r="G254" i="1"/>
  <c r="AM253" i="1"/>
  <c r="AL253" i="1"/>
  <c r="AK253" i="1"/>
  <c r="AJ253" i="1"/>
  <c r="AG253" i="1"/>
  <c r="AF253" i="1"/>
  <c r="AI253" i="1" s="1"/>
  <c r="Z253" i="1"/>
  <c r="U253" i="1"/>
  <c r="S253" i="1"/>
  <c r="Q253" i="1"/>
  <c r="O253" i="1"/>
  <c r="M253" i="1"/>
  <c r="K253" i="1"/>
  <c r="I253" i="1"/>
  <c r="G253" i="1"/>
  <c r="V253" i="1" s="1"/>
  <c r="AF252" i="1"/>
  <c r="Z252" i="1"/>
  <c r="V252" i="1"/>
  <c r="U252" i="1"/>
  <c r="S252" i="1"/>
  <c r="Q252" i="1"/>
  <c r="O252" i="1"/>
  <c r="M252" i="1"/>
  <c r="K252" i="1"/>
  <c r="I252" i="1"/>
  <c r="G252" i="1"/>
  <c r="AL251" i="1"/>
  <c r="AK251" i="1"/>
  <c r="AJ251" i="1"/>
  <c r="AI251" i="1"/>
  <c r="AH251" i="1"/>
  <c r="AF251" i="1"/>
  <c r="AG251" i="1" s="1"/>
  <c r="AB251" i="1"/>
  <c r="F251" i="1" s="1"/>
  <c r="O251" i="1"/>
  <c r="K251" i="1"/>
  <c r="I251" i="1"/>
  <c r="G251" i="1"/>
  <c r="V251" i="1" s="1"/>
  <c r="AF250" i="1"/>
  <c r="AB250" i="1"/>
  <c r="G250" i="1"/>
  <c r="F250" i="1"/>
  <c r="AM249" i="1"/>
  <c r="AL249" i="1"/>
  <c r="AF249" i="1"/>
  <c r="Z249" i="1"/>
  <c r="V249" i="1"/>
  <c r="U249" i="1"/>
  <c r="S249" i="1"/>
  <c r="Q249" i="1"/>
  <c r="O249" i="1"/>
  <c r="M249" i="1"/>
  <c r="K249" i="1"/>
  <c r="I249" i="1"/>
  <c r="G249" i="1"/>
  <c r="AK248" i="1"/>
  <c r="AG248" i="1"/>
  <c r="AF248" i="1"/>
  <c r="Z248" i="1"/>
  <c r="V248" i="1"/>
  <c r="U248" i="1"/>
  <c r="S248" i="1"/>
  <c r="Q248" i="1"/>
  <c r="O248" i="1"/>
  <c r="M248" i="1"/>
  <c r="K248" i="1"/>
  <c r="I248" i="1"/>
  <c r="G248" i="1"/>
  <c r="AM247" i="1"/>
  <c r="AL247" i="1"/>
  <c r="AK247" i="1"/>
  <c r="AJ247" i="1"/>
  <c r="AI247" i="1"/>
  <c r="AG247" i="1"/>
  <c r="AF247" i="1"/>
  <c r="AH247" i="1" s="1"/>
  <c r="Z247" i="1"/>
  <c r="V247" i="1"/>
  <c r="U247" i="1"/>
  <c r="S247" i="1"/>
  <c r="Q247" i="1"/>
  <c r="O247" i="1"/>
  <c r="M247" i="1"/>
  <c r="K247" i="1"/>
  <c r="I247" i="1"/>
  <c r="G247" i="1"/>
  <c r="AM246" i="1"/>
  <c r="AK246" i="1"/>
  <c r="AJ246" i="1"/>
  <c r="AI246" i="1"/>
  <c r="AF246" i="1"/>
  <c r="Z246" i="1"/>
  <c r="V246" i="1"/>
  <c r="U246" i="1"/>
  <c r="S246" i="1"/>
  <c r="Q246" i="1"/>
  <c r="O246" i="1"/>
  <c r="M246" i="1"/>
  <c r="K246" i="1"/>
  <c r="I246" i="1"/>
  <c r="G246" i="1"/>
  <c r="AL245" i="1"/>
  <c r="AK245" i="1"/>
  <c r="AH245" i="1"/>
  <c r="AG245" i="1"/>
  <c r="AF245" i="1"/>
  <c r="G245" i="1"/>
  <c r="AM245" i="1" s="1"/>
  <c r="F245" i="1"/>
  <c r="AL244" i="1"/>
  <c r="AK244" i="1"/>
  <c r="AI244" i="1"/>
  <c r="AH244" i="1"/>
  <c r="AG244" i="1"/>
  <c r="AF244" i="1"/>
  <c r="Z244" i="1"/>
  <c r="U244" i="1"/>
  <c r="S244" i="1"/>
  <c r="Q244" i="1"/>
  <c r="O244" i="1"/>
  <c r="M244" i="1"/>
  <c r="K244" i="1"/>
  <c r="I244" i="1"/>
  <c r="G244" i="1"/>
  <c r="V244" i="1" s="1"/>
  <c r="AI243" i="1"/>
  <c r="AH243" i="1"/>
  <c r="AF243" i="1"/>
  <c r="Z243" i="1"/>
  <c r="U243" i="1"/>
  <c r="S243" i="1"/>
  <c r="Q243" i="1"/>
  <c r="O243" i="1"/>
  <c r="M243" i="1"/>
  <c r="K243" i="1"/>
  <c r="I243" i="1"/>
  <c r="G243" i="1"/>
  <c r="V243" i="1" s="1"/>
  <c r="F243" i="1"/>
  <c r="AM242" i="1"/>
  <c r="AL242" i="1"/>
  <c r="AK242" i="1"/>
  <c r="AI242" i="1"/>
  <c r="AH242" i="1"/>
  <c r="AG242" i="1"/>
  <c r="AF242" i="1"/>
  <c r="AJ242" i="1" s="1"/>
  <c r="Z242" i="1"/>
  <c r="V242" i="1"/>
  <c r="U242" i="1"/>
  <c r="S242" i="1"/>
  <c r="Q242" i="1"/>
  <c r="O242" i="1"/>
  <c r="M242" i="1"/>
  <c r="K242" i="1"/>
  <c r="I242" i="1"/>
  <c r="G242" i="1"/>
  <c r="AM241" i="1"/>
  <c r="AI241" i="1"/>
  <c r="AG241" i="1"/>
  <c r="AF241" i="1"/>
  <c r="Z241" i="1"/>
  <c r="V241" i="1"/>
  <c r="U241" i="1"/>
  <c r="S241" i="1"/>
  <c r="Q241" i="1"/>
  <c r="O241" i="1"/>
  <c r="M241" i="1"/>
  <c r="K241" i="1"/>
  <c r="I241" i="1"/>
  <c r="G241" i="1"/>
  <c r="AJ240" i="1"/>
  <c r="AH240" i="1"/>
  <c r="AF240" i="1"/>
  <c r="AI240" i="1" s="1"/>
  <c r="Z240" i="1"/>
  <c r="U240" i="1"/>
  <c r="S240" i="1"/>
  <c r="Q240" i="1"/>
  <c r="O240" i="1"/>
  <c r="M240" i="1"/>
  <c r="K240" i="1"/>
  <c r="I240" i="1"/>
  <c r="G240" i="1"/>
  <c r="V240" i="1" s="1"/>
  <c r="AM239" i="1"/>
  <c r="AL239" i="1"/>
  <c r="AI239" i="1"/>
  <c r="AG239" i="1"/>
  <c r="AF239" i="1"/>
  <c r="Z239" i="1"/>
  <c r="V239" i="1"/>
  <c r="U239" i="1"/>
  <c r="S239" i="1"/>
  <c r="Q239" i="1"/>
  <c r="O239" i="1"/>
  <c r="M239" i="1"/>
  <c r="K239" i="1"/>
  <c r="I239" i="1"/>
  <c r="G239" i="1"/>
  <c r="AM238" i="1"/>
  <c r="AK238" i="1"/>
  <c r="AI238" i="1"/>
  <c r="AG238" i="1"/>
  <c r="AF238" i="1"/>
  <c r="Z238" i="1"/>
  <c r="V238" i="1"/>
  <c r="U238" i="1"/>
  <c r="S238" i="1"/>
  <c r="Q238" i="1"/>
  <c r="O238" i="1"/>
  <c r="M238" i="1"/>
  <c r="K238" i="1"/>
  <c r="I238" i="1"/>
  <c r="G238" i="1"/>
  <c r="AM237" i="1"/>
  <c r="AL237" i="1"/>
  <c r="AK237" i="1"/>
  <c r="AG237" i="1"/>
  <c r="AF237" i="1"/>
  <c r="Z237" i="1"/>
  <c r="V237" i="1"/>
  <c r="U237" i="1"/>
  <c r="S237" i="1"/>
  <c r="Q237" i="1"/>
  <c r="O237" i="1"/>
  <c r="M237" i="1"/>
  <c r="K237" i="1"/>
  <c r="I237" i="1"/>
  <c r="G237" i="1"/>
  <c r="AK236" i="1"/>
  <c r="AJ236" i="1"/>
  <c r="AF236" i="1"/>
  <c r="Z236" i="1"/>
  <c r="V236" i="1"/>
  <c r="U236" i="1"/>
  <c r="S236" i="1"/>
  <c r="Q236" i="1"/>
  <c r="O236" i="1"/>
  <c r="M236" i="1"/>
  <c r="K236" i="1"/>
  <c r="I236" i="1"/>
  <c r="G236" i="1"/>
  <c r="AF235" i="1"/>
  <c r="Z235" i="1"/>
  <c r="V235" i="1"/>
  <c r="U235" i="1"/>
  <c r="S235" i="1"/>
  <c r="Q235" i="1"/>
  <c r="O235" i="1"/>
  <c r="M235" i="1"/>
  <c r="K235" i="1"/>
  <c r="I235" i="1"/>
  <c r="G235" i="1"/>
  <c r="AL234" i="1"/>
  <c r="AK234" i="1"/>
  <c r="AJ234" i="1"/>
  <c r="AI234" i="1"/>
  <c r="AH234" i="1"/>
  <c r="AG234" i="1"/>
  <c r="AF234" i="1"/>
  <c r="Z234" i="1"/>
  <c r="U234" i="1"/>
  <c r="S234" i="1"/>
  <c r="Q234" i="1"/>
  <c r="O234" i="1"/>
  <c r="M234" i="1"/>
  <c r="K234" i="1"/>
  <c r="I234" i="1"/>
  <c r="G234" i="1"/>
  <c r="V234" i="1" s="1"/>
  <c r="AM233" i="1"/>
  <c r="AL233" i="1"/>
  <c r="AK233" i="1"/>
  <c r="AJ233" i="1"/>
  <c r="AI233" i="1"/>
  <c r="AG233" i="1"/>
  <c r="AF233" i="1"/>
  <c r="AH233" i="1" s="1"/>
  <c r="Z233" i="1"/>
  <c r="V233" i="1"/>
  <c r="U233" i="1"/>
  <c r="S233" i="1"/>
  <c r="Q233" i="1"/>
  <c r="O233" i="1"/>
  <c r="M233" i="1"/>
  <c r="K233" i="1"/>
  <c r="I233" i="1"/>
  <c r="G233" i="1"/>
  <c r="AJ232" i="1"/>
  <c r="AH232" i="1"/>
  <c r="AF232" i="1"/>
  <c r="Z232" i="1"/>
  <c r="U232" i="1"/>
  <c r="S232" i="1"/>
  <c r="Q232" i="1"/>
  <c r="O232" i="1"/>
  <c r="M232" i="1"/>
  <c r="K232" i="1"/>
  <c r="I232" i="1"/>
  <c r="G232" i="1"/>
  <c r="V232" i="1" s="1"/>
  <c r="AM231" i="1"/>
  <c r="AL231" i="1"/>
  <c r="AJ231" i="1"/>
  <c r="AI231" i="1"/>
  <c r="AG231" i="1"/>
  <c r="AF231" i="1"/>
  <c r="AH231" i="1" s="1"/>
  <c r="Z231" i="1"/>
  <c r="V231" i="1"/>
  <c r="U231" i="1"/>
  <c r="S231" i="1"/>
  <c r="Q231" i="1"/>
  <c r="O231" i="1"/>
  <c r="M231" i="1"/>
  <c r="K231" i="1"/>
  <c r="I231" i="1"/>
  <c r="G231" i="1"/>
  <c r="AJ230" i="1"/>
  <c r="AI230" i="1"/>
  <c r="AH230" i="1"/>
  <c r="AF230" i="1"/>
  <c r="Z230" i="1"/>
  <c r="U230" i="1"/>
  <c r="S230" i="1"/>
  <c r="Q230" i="1"/>
  <c r="O230" i="1"/>
  <c r="M230" i="1"/>
  <c r="K230" i="1"/>
  <c r="I230" i="1"/>
  <c r="G230" i="1"/>
  <c r="V230" i="1" s="1"/>
  <c r="AM229" i="1"/>
  <c r="AK229" i="1"/>
  <c r="AG229" i="1"/>
  <c r="AF229" i="1"/>
  <c r="Z229" i="1"/>
  <c r="V229" i="1"/>
  <c r="U229" i="1"/>
  <c r="S229" i="1"/>
  <c r="Q229" i="1"/>
  <c r="O229" i="1"/>
  <c r="M229" i="1"/>
  <c r="K229" i="1"/>
  <c r="I229" i="1"/>
  <c r="G229" i="1"/>
  <c r="AI228" i="1"/>
  <c r="AH228" i="1"/>
  <c r="AF228" i="1"/>
  <c r="Z228" i="1"/>
  <c r="U228" i="1"/>
  <c r="S228" i="1"/>
  <c r="Q228" i="1"/>
  <c r="O228" i="1"/>
  <c r="M228" i="1"/>
  <c r="K228" i="1"/>
  <c r="I228" i="1"/>
  <c r="G228" i="1"/>
  <c r="V228" i="1" s="1"/>
  <c r="AM227" i="1"/>
  <c r="AL227" i="1"/>
  <c r="AK227" i="1"/>
  <c r="AJ227" i="1"/>
  <c r="AG227" i="1"/>
  <c r="AF227" i="1"/>
  <c r="Z227" i="1"/>
  <c r="V227" i="1"/>
  <c r="U227" i="1"/>
  <c r="S227" i="1"/>
  <c r="Q227" i="1"/>
  <c r="O227" i="1"/>
  <c r="M227" i="1"/>
  <c r="K227" i="1"/>
  <c r="I227" i="1"/>
  <c r="G227" i="1"/>
  <c r="AM226" i="1"/>
  <c r="AK226" i="1"/>
  <c r="AF226" i="1"/>
  <c r="Z226" i="1"/>
  <c r="V226" i="1"/>
  <c r="U226" i="1"/>
  <c r="S226" i="1"/>
  <c r="Q226" i="1"/>
  <c r="O226" i="1"/>
  <c r="M226" i="1"/>
  <c r="K226" i="1"/>
  <c r="I226" i="1"/>
  <c r="G226" i="1"/>
  <c r="AL225" i="1"/>
  <c r="AI225" i="1"/>
  <c r="AF225" i="1"/>
  <c r="Z225" i="1"/>
  <c r="V225" i="1"/>
  <c r="U225" i="1"/>
  <c r="S225" i="1"/>
  <c r="Q225" i="1"/>
  <c r="O225" i="1"/>
  <c r="M225" i="1"/>
  <c r="K225" i="1"/>
  <c r="I225" i="1"/>
  <c r="G225" i="1"/>
  <c r="AL224" i="1"/>
  <c r="AF224" i="1"/>
  <c r="Z224" i="1"/>
  <c r="V224" i="1"/>
  <c r="U224" i="1"/>
  <c r="S224" i="1"/>
  <c r="Q224" i="1"/>
  <c r="O224" i="1"/>
  <c r="M224" i="1"/>
  <c r="K224" i="1"/>
  <c r="I224" i="1"/>
  <c r="G224" i="1"/>
  <c r="AF223" i="1"/>
  <c r="G223" i="1"/>
  <c r="AM222" i="1"/>
  <c r="AL222" i="1"/>
  <c r="AI222" i="1"/>
  <c r="AH222" i="1"/>
  <c r="AF222" i="1"/>
  <c r="AB222" i="1"/>
  <c r="U222" i="1"/>
  <c r="Q222" i="1"/>
  <c r="G222" i="1"/>
  <c r="F222" i="1"/>
  <c r="AM221" i="1"/>
  <c r="AL221" i="1"/>
  <c r="AJ221" i="1"/>
  <c r="AI221" i="1"/>
  <c r="AH221" i="1"/>
  <c r="AG221" i="1"/>
  <c r="AF221" i="1"/>
  <c r="AK221" i="1" s="1"/>
  <c r="AB221" i="1"/>
  <c r="F221" i="1" s="1"/>
  <c r="K221" i="1" s="1"/>
  <c r="V221" i="1"/>
  <c r="Q221" i="1"/>
  <c r="M221" i="1"/>
  <c r="I221" i="1"/>
  <c r="G221" i="1"/>
  <c r="AF220" i="1"/>
  <c r="AH220" i="1" s="1"/>
  <c r="Z220" i="1"/>
  <c r="V220" i="1"/>
  <c r="U220" i="1"/>
  <c r="S220" i="1"/>
  <c r="Q220" i="1"/>
  <c r="O220" i="1"/>
  <c r="M220" i="1"/>
  <c r="K220" i="1"/>
  <c r="I220" i="1"/>
  <c r="G220" i="1"/>
  <c r="AL219" i="1"/>
  <c r="AK219" i="1"/>
  <c r="AF219" i="1"/>
  <c r="Z219" i="1"/>
  <c r="V219" i="1"/>
  <c r="U219" i="1"/>
  <c r="O219" i="1"/>
  <c r="K219" i="1"/>
  <c r="G219" i="1"/>
  <c r="F219" i="1"/>
  <c r="AM218" i="1"/>
  <c r="AL218" i="1"/>
  <c r="AK218" i="1"/>
  <c r="AJ218" i="1"/>
  <c r="AI218" i="1"/>
  <c r="AG218" i="1"/>
  <c r="AF218" i="1"/>
  <c r="AH218" i="1" s="1"/>
  <c r="Z218" i="1"/>
  <c r="Q218" i="1"/>
  <c r="O218" i="1"/>
  <c r="I218" i="1"/>
  <c r="G218" i="1"/>
  <c r="F218" i="1"/>
  <c r="AF217" i="1"/>
  <c r="Z217" i="1"/>
  <c r="S217" i="1"/>
  <c r="I217" i="1"/>
  <c r="G217" i="1"/>
  <c r="V217" i="1" s="1"/>
  <c r="F217" i="1"/>
  <c r="AL216" i="1"/>
  <c r="AK216" i="1"/>
  <c r="AI216" i="1"/>
  <c r="AH216" i="1"/>
  <c r="AG216" i="1"/>
  <c r="AF216" i="1"/>
  <c r="AJ216" i="1" s="1"/>
  <c r="AB216" i="1"/>
  <c r="Z216" i="1"/>
  <c r="U216" i="1"/>
  <c r="S216" i="1"/>
  <c r="Q216" i="1"/>
  <c r="O216" i="1"/>
  <c r="K216" i="1"/>
  <c r="I216" i="1"/>
  <c r="G216" i="1"/>
  <c r="F216" i="1"/>
  <c r="M216" i="1" s="1"/>
  <c r="AL215" i="1"/>
  <c r="AK215" i="1"/>
  <c r="AJ215" i="1"/>
  <c r="AI215" i="1"/>
  <c r="AH215" i="1"/>
  <c r="AG215" i="1"/>
  <c r="AF215" i="1"/>
  <c r="AB215" i="1"/>
  <c r="F215" i="1" s="1"/>
  <c r="V215" i="1"/>
  <c r="Q215" i="1"/>
  <c r="O215" i="1"/>
  <c r="M215" i="1"/>
  <c r="I215" i="1"/>
  <c r="G215" i="1"/>
  <c r="AM215" i="1" s="1"/>
  <c r="AL214" i="1"/>
  <c r="AK214" i="1"/>
  <c r="AG214" i="1"/>
  <c r="AF214" i="1"/>
  <c r="V214" i="1"/>
  <c r="U214" i="1"/>
  <c r="S214" i="1"/>
  <c r="G214" i="1"/>
  <c r="AF213" i="1"/>
  <c r="AL213" i="1" s="1"/>
  <c r="AB213" i="1"/>
  <c r="AB214" i="1" s="1"/>
  <c r="F214" i="1" s="1"/>
  <c r="O214" i="1" s="1"/>
  <c r="O213" i="1"/>
  <c r="G213" i="1"/>
  <c r="F213" i="1"/>
  <c r="AF212" i="1"/>
  <c r="AB212" i="1"/>
  <c r="F212" i="1" s="1"/>
  <c r="S212" i="1"/>
  <c r="G212" i="1"/>
  <c r="AF211" i="1"/>
  <c r="Z211" i="1"/>
  <c r="V211" i="1"/>
  <c r="U211" i="1"/>
  <c r="S211" i="1"/>
  <c r="Q211" i="1"/>
  <c r="O211" i="1"/>
  <c r="M211" i="1"/>
  <c r="K211" i="1"/>
  <c r="I211" i="1"/>
  <c r="G211" i="1"/>
  <c r="AL210" i="1"/>
  <c r="AK210" i="1"/>
  <c r="AJ210" i="1"/>
  <c r="AI210" i="1"/>
  <c r="AH210" i="1"/>
  <c r="AG210" i="1"/>
  <c r="AF210" i="1"/>
  <c r="AM210" i="1" s="1"/>
  <c r="Z210" i="1"/>
  <c r="V210" i="1"/>
  <c r="U210" i="1"/>
  <c r="S210" i="1"/>
  <c r="Q210" i="1"/>
  <c r="O210" i="1"/>
  <c r="M210" i="1"/>
  <c r="K210" i="1"/>
  <c r="I210" i="1"/>
  <c r="G210" i="1"/>
  <c r="AJ209" i="1"/>
  <c r="AI209" i="1"/>
  <c r="AF209" i="1"/>
  <c r="AB209" i="1"/>
  <c r="F209" i="1" s="1"/>
  <c r="O209" i="1"/>
  <c r="G209" i="1"/>
  <c r="AL208" i="1"/>
  <c r="AK208" i="1"/>
  <c r="AJ208" i="1"/>
  <c r="AI208" i="1"/>
  <c r="AG208" i="1"/>
  <c r="AF208" i="1"/>
  <c r="AH208" i="1" s="1"/>
  <c r="AB208" i="1"/>
  <c r="F208" i="1" s="1"/>
  <c r="G208" i="1"/>
  <c r="AM208" i="1" s="1"/>
  <c r="AF207" i="1"/>
  <c r="AB207" i="1"/>
  <c r="F207" i="1" s="1"/>
  <c r="V207" i="1"/>
  <c r="S207" i="1"/>
  <c r="K207" i="1"/>
  <c r="I207" i="1"/>
  <c r="G207" i="1"/>
  <c r="AK206" i="1"/>
  <c r="AJ206" i="1"/>
  <c r="AI206" i="1"/>
  <c r="AH206" i="1"/>
  <c r="AF206" i="1"/>
  <c r="AB206" i="1"/>
  <c r="G206" i="1"/>
  <c r="F206" i="1"/>
  <c r="AM205" i="1"/>
  <c r="AL205" i="1"/>
  <c r="AK205" i="1"/>
  <c r="AJ205" i="1"/>
  <c r="AF205" i="1"/>
  <c r="AB205" i="1"/>
  <c r="G205" i="1"/>
  <c r="F205" i="1"/>
  <c r="Q205" i="1" s="1"/>
  <c r="AH204" i="1"/>
  <c r="AG204" i="1"/>
  <c r="AF204" i="1"/>
  <c r="AB204" i="1"/>
  <c r="F204" i="1" s="1"/>
  <c r="Q204" i="1" s="1"/>
  <c r="V204" i="1"/>
  <c r="U204" i="1"/>
  <c r="S204" i="1"/>
  <c r="G204" i="1"/>
  <c r="AF203" i="1"/>
  <c r="AB203" i="1"/>
  <c r="G203" i="1"/>
  <c r="F203" i="1"/>
  <c r="AJ202" i="1"/>
  <c r="AF202" i="1"/>
  <c r="AB202" i="1"/>
  <c r="F202" i="1" s="1"/>
  <c r="U202" i="1"/>
  <c r="O202" i="1"/>
  <c r="M202" i="1"/>
  <c r="G202" i="1"/>
  <c r="AH201" i="1"/>
  <c r="AF201" i="1"/>
  <c r="AB201" i="1"/>
  <c r="G201" i="1"/>
  <c r="F201" i="1"/>
  <c r="AM200" i="1"/>
  <c r="AK200" i="1"/>
  <c r="AJ200" i="1"/>
  <c r="AI200" i="1"/>
  <c r="AF200" i="1"/>
  <c r="AB200" i="1"/>
  <c r="F200" i="1" s="1"/>
  <c r="Q200" i="1" s="1"/>
  <c r="Z200" i="1"/>
  <c r="V200" i="1"/>
  <c r="U200" i="1"/>
  <c r="S200" i="1"/>
  <c r="O200" i="1"/>
  <c r="M200" i="1"/>
  <c r="K200" i="1"/>
  <c r="I200" i="1"/>
  <c r="G200" i="1"/>
  <c r="AI199" i="1"/>
  <c r="AG199" i="1"/>
  <c r="AF199" i="1"/>
  <c r="AB199" i="1"/>
  <c r="F199" i="1" s="1"/>
  <c r="Z199" i="1"/>
  <c r="U199" i="1"/>
  <c r="S199" i="1"/>
  <c r="O199" i="1"/>
  <c r="G199" i="1"/>
  <c r="AM199" i="1" s="1"/>
  <c r="AL198" i="1"/>
  <c r="AJ198" i="1"/>
  <c r="AI198" i="1"/>
  <c r="AH198" i="1"/>
  <c r="AG198" i="1"/>
  <c r="AF198" i="1"/>
  <c r="AK198" i="1" s="1"/>
  <c r="AB198" i="1"/>
  <c r="F198" i="1" s="1"/>
  <c r="U198" i="1"/>
  <c r="Q198" i="1"/>
  <c r="I198" i="1"/>
  <c r="G198" i="1"/>
  <c r="AM198" i="1" s="1"/>
  <c r="AJ197" i="1"/>
  <c r="AH197" i="1"/>
  <c r="AF197" i="1"/>
  <c r="AB197" i="1"/>
  <c r="V197" i="1"/>
  <c r="O197" i="1"/>
  <c r="M197" i="1"/>
  <c r="G197" i="1"/>
  <c r="F197" i="1"/>
  <c r="AM196" i="1"/>
  <c r="AL196" i="1"/>
  <c r="AK196" i="1"/>
  <c r="AJ196" i="1"/>
  <c r="AI196" i="1"/>
  <c r="AF196" i="1"/>
  <c r="AH196" i="1" s="1"/>
  <c r="AB196" i="1"/>
  <c r="U196" i="1"/>
  <c r="M196" i="1"/>
  <c r="K196" i="1"/>
  <c r="G196" i="1"/>
  <c r="F196" i="1"/>
  <c r="AF195" i="1"/>
  <c r="AB195" i="1"/>
  <c r="F195" i="1" s="1"/>
  <c r="S195" i="1"/>
  <c r="G195" i="1"/>
  <c r="AK194" i="1"/>
  <c r="AJ194" i="1"/>
  <c r="AF194" i="1"/>
  <c r="AB194" i="1"/>
  <c r="F194" i="1" s="1"/>
  <c r="Z194" i="1"/>
  <c r="V194" i="1"/>
  <c r="O194" i="1"/>
  <c r="I194" i="1"/>
  <c r="G194" i="1"/>
  <c r="AM193" i="1"/>
  <c r="AL193" i="1"/>
  <c r="AK193" i="1"/>
  <c r="AJ193" i="1"/>
  <c r="AI193" i="1"/>
  <c r="AF193" i="1"/>
  <c r="Z193" i="1"/>
  <c r="V193" i="1"/>
  <c r="U193" i="1"/>
  <c r="S193" i="1"/>
  <c r="Q193" i="1"/>
  <c r="O193" i="1"/>
  <c r="M193" i="1"/>
  <c r="K193" i="1"/>
  <c r="I193" i="1"/>
  <c r="G193" i="1"/>
  <c r="AL192" i="1"/>
  <c r="AF192" i="1"/>
  <c r="Z192" i="1"/>
  <c r="V192" i="1"/>
  <c r="U192" i="1"/>
  <c r="S192" i="1"/>
  <c r="Q192" i="1"/>
  <c r="O192" i="1"/>
  <c r="M192" i="1"/>
  <c r="K192" i="1"/>
  <c r="I192" i="1"/>
  <c r="G192" i="1"/>
  <c r="AF191" i="1"/>
  <c r="AB191" i="1"/>
  <c r="Z191" i="1"/>
  <c r="S191" i="1"/>
  <c r="M191" i="1"/>
  <c r="K191" i="1"/>
  <c r="G191" i="1"/>
  <c r="F191" i="1"/>
  <c r="AF190" i="1"/>
  <c r="AB190" i="1"/>
  <c r="G190" i="1"/>
  <c r="F190" i="1"/>
  <c r="AM189" i="1"/>
  <c r="AJ189" i="1"/>
  <c r="AF189" i="1"/>
  <c r="AB189" i="1"/>
  <c r="F189" i="1" s="1"/>
  <c r="S189" i="1"/>
  <c r="O189" i="1"/>
  <c r="M189" i="1"/>
  <c r="K189" i="1"/>
  <c r="G189" i="1"/>
  <c r="AF188" i="1"/>
  <c r="AB188" i="1"/>
  <c r="F188" i="1" s="1"/>
  <c r="Z188" i="1"/>
  <c r="G188" i="1"/>
  <c r="AL187" i="1"/>
  <c r="AJ187" i="1"/>
  <c r="AI187" i="1"/>
  <c r="AH187" i="1"/>
  <c r="AG187" i="1"/>
  <c r="AF187" i="1"/>
  <c r="AK187" i="1" s="1"/>
  <c r="AB187" i="1"/>
  <c r="F187" i="1" s="1"/>
  <c r="S187" i="1"/>
  <c r="G187" i="1"/>
  <c r="AM186" i="1"/>
  <c r="AK186" i="1"/>
  <c r="AJ186" i="1"/>
  <c r="AI186" i="1"/>
  <c r="AF186" i="1"/>
  <c r="AB186" i="1"/>
  <c r="Z186" i="1"/>
  <c r="V186" i="1"/>
  <c r="U186" i="1"/>
  <c r="S186" i="1"/>
  <c r="O186" i="1"/>
  <c r="M186" i="1"/>
  <c r="K186" i="1"/>
  <c r="I186" i="1"/>
  <c r="G186" i="1"/>
  <c r="F186" i="1"/>
  <c r="Q186" i="1" s="1"/>
  <c r="AF185" i="1"/>
  <c r="Z185" i="1"/>
  <c r="V185" i="1"/>
  <c r="U185" i="1"/>
  <c r="S185" i="1"/>
  <c r="Q185" i="1"/>
  <c r="O185" i="1"/>
  <c r="M185" i="1"/>
  <c r="K185" i="1"/>
  <c r="I185" i="1"/>
  <c r="G185" i="1"/>
  <c r="AK184" i="1"/>
  <c r="AJ184" i="1"/>
  <c r="AH184" i="1"/>
  <c r="AF184" i="1"/>
  <c r="Z184" i="1"/>
  <c r="U184" i="1"/>
  <c r="S184" i="1"/>
  <c r="Q184" i="1"/>
  <c r="O184" i="1"/>
  <c r="M184" i="1"/>
  <c r="K184" i="1"/>
  <c r="I184" i="1"/>
  <c r="G184" i="1"/>
  <c r="V184" i="1" s="1"/>
  <c r="AM183" i="1"/>
  <c r="AK183" i="1"/>
  <c r="AF183" i="1"/>
  <c r="Z183" i="1"/>
  <c r="V183" i="1"/>
  <c r="U183" i="1"/>
  <c r="S183" i="1"/>
  <c r="Q183" i="1"/>
  <c r="O183" i="1"/>
  <c r="M183" i="1"/>
  <c r="K183" i="1"/>
  <c r="I183" i="1"/>
  <c r="G183" i="1"/>
  <c r="AF182" i="1"/>
  <c r="Z182" i="1"/>
  <c r="U182" i="1"/>
  <c r="S182" i="1"/>
  <c r="Q182" i="1"/>
  <c r="O182" i="1"/>
  <c r="M182" i="1"/>
  <c r="K182" i="1"/>
  <c r="I182" i="1"/>
  <c r="G182" i="1"/>
  <c r="V182" i="1" s="1"/>
  <c r="AM181" i="1"/>
  <c r="AL181" i="1"/>
  <c r="AK181" i="1"/>
  <c r="AJ181" i="1"/>
  <c r="AI181" i="1"/>
  <c r="AF181" i="1"/>
  <c r="AH181" i="1" s="1"/>
  <c r="Z181" i="1"/>
  <c r="V181" i="1"/>
  <c r="U181" i="1"/>
  <c r="S181" i="1"/>
  <c r="Q181" i="1"/>
  <c r="O181" i="1"/>
  <c r="M181" i="1"/>
  <c r="K181" i="1"/>
  <c r="I181" i="1"/>
  <c r="G181" i="1"/>
  <c r="AK180" i="1"/>
  <c r="AF180" i="1"/>
  <c r="Z180" i="1"/>
  <c r="V180" i="1"/>
  <c r="U180" i="1"/>
  <c r="S180" i="1"/>
  <c r="Q180" i="1"/>
  <c r="O180" i="1"/>
  <c r="M180" i="1"/>
  <c r="K180" i="1"/>
  <c r="I180" i="1"/>
  <c r="G180" i="1"/>
  <c r="AF179" i="1"/>
  <c r="AJ179" i="1" s="1"/>
  <c r="Z179" i="1"/>
  <c r="V179" i="1"/>
  <c r="U179" i="1"/>
  <c r="S179" i="1"/>
  <c r="Q179" i="1"/>
  <c r="O179" i="1"/>
  <c r="M179" i="1"/>
  <c r="K179" i="1"/>
  <c r="I179" i="1"/>
  <c r="G179" i="1"/>
  <c r="AL178" i="1"/>
  <c r="AH178" i="1"/>
  <c r="AG178" i="1"/>
  <c r="AF178" i="1"/>
  <c r="AI178" i="1" s="1"/>
  <c r="Z178" i="1"/>
  <c r="U178" i="1"/>
  <c r="S178" i="1"/>
  <c r="Q178" i="1"/>
  <c r="O178" i="1"/>
  <c r="M178" i="1"/>
  <c r="K178" i="1"/>
  <c r="I178" i="1"/>
  <c r="G178" i="1"/>
  <c r="V178" i="1" s="1"/>
  <c r="AF177" i="1"/>
  <c r="Z177" i="1"/>
  <c r="V177" i="1"/>
  <c r="U177" i="1"/>
  <c r="S177" i="1"/>
  <c r="Q177" i="1"/>
  <c r="O177" i="1"/>
  <c r="M177" i="1"/>
  <c r="K177" i="1"/>
  <c r="I177" i="1"/>
  <c r="G177" i="1"/>
  <c r="AM176" i="1"/>
  <c r="AL176" i="1"/>
  <c r="AJ176" i="1"/>
  <c r="AF176" i="1"/>
  <c r="O176" i="1"/>
  <c r="M176" i="1"/>
  <c r="K176" i="1"/>
  <c r="G176" i="1"/>
  <c r="F176" i="1"/>
  <c r="AF175" i="1"/>
  <c r="AJ175" i="1" s="1"/>
  <c r="Z175" i="1"/>
  <c r="G175" i="1"/>
  <c r="F175" i="1"/>
  <c r="AL174" i="1"/>
  <c r="AJ174" i="1"/>
  <c r="AI174" i="1"/>
  <c r="AH174" i="1"/>
  <c r="AG174" i="1"/>
  <c r="AF174" i="1"/>
  <c r="AK174" i="1" s="1"/>
  <c r="Z174" i="1"/>
  <c r="U174" i="1"/>
  <c r="S174" i="1"/>
  <c r="Q174" i="1"/>
  <c r="O174" i="1"/>
  <c r="M174" i="1"/>
  <c r="K174" i="1"/>
  <c r="I174" i="1"/>
  <c r="G174" i="1"/>
  <c r="AL173" i="1"/>
  <c r="AF173" i="1"/>
  <c r="Z173" i="1"/>
  <c r="V173" i="1"/>
  <c r="U173" i="1"/>
  <c r="S173" i="1"/>
  <c r="Q173" i="1"/>
  <c r="O173" i="1"/>
  <c r="M173" i="1"/>
  <c r="K173" i="1"/>
  <c r="I173" i="1"/>
  <c r="G173" i="1"/>
  <c r="AL172" i="1"/>
  <c r="AK172" i="1"/>
  <c r="AH172" i="1"/>
  <c r="AF172" i="1"/>
  <c r="Z172" i="1"/>
  <c r="U172" i="1"/>
  <c r="S172" i="1"/>
  <c r="Q172" i="1"/>
  <c r="O172" i="1"/>
  <c r="M172" i="1"/>
  <c r="K172" i="1"/>
  <c r="I172" i="1"/>
  <c r="G172" i="1"/>
  <c r="V172" i="1" s="1"/>
  <c r="AM171" i="1"/>
  <c r="AL171" i="1"/>
  <c r="AK171" i="1"/>
  <c r="AJ171" i="1"/>
  <c r="AI171" i="1"/>
  <c r="AF171" i="1"/>
  <c r="Z171" i="1"/>
  <c r="V171" i="1"/>
  <c r="U171" i="1"/>
  <c r="S171" i="1"/>
  <c r="Q171" i="1"/>
  <c r="O171" i="1"/>
  <c r="M171" i="1"/>
  <c r="K171" i="1"/>
  <c r="I171" i="1"/>
  <c r="G171" i="1"/>
  <c r="AM170" i="1"/>
  <c r="AJ170" i="1"/>
  <c r="AI170" i="1"/>
  <c r="AF170" i="1"/>
  <c r="AL170" i="1" s="1"/>
  <c r="AB170" i="1"/>
  <c r="Z170" i="1"/>
  <c r="V170" i="1"/>
  <c r="G170" i="1"/>
  <c r="F170" i="1"/>
  <c r="AM169" i="1"/>
  <c r="AL169" i="1"/>
  <c r="AK169" i="1"/>
  <c r="AJ169" i="1"/>
  <c r="AI169" i="1"/>
  <c r="AH169" i="1"/>
  <c r="AF169" i="1"/>
  <c r="AG169" i="1" s="1"/>
  <c r="AB169" i="1"/>
  <c r="F169" i="1" s="1"/>
  <c r="Z169" i="1" s="1"/>
  <c r="S169" i="1"/>
  <c r="Q169" i="1"/>
  <c r="O169" i="1"/>
  <c r="G169" i="1"/>
  <c r="AL168" i="1"/>
  <c r="AJ168" i="1"/>
  <c r="AF168" i="1"/>
  <c r="AB168" i="1"/>
  <c r="Z168" i="1"/>
  <c r="K168" i="1"/>
  <c r="I168" i="1"/>
  <c r="G168" i="1"/>
  <c r="AM168" i="1" s="1"/>
  <c r="F168" i="1"/>
  <c r="S168" i="1" s="1"/>
  <c r="AH167" i="1"/>
  <c r="AF167" i="1"/>
  <c r="AB167" i="1"/>
  <c r="F167" i="1" s="1"/>
  <c r="Q167" i="1"/>
  <c r="K167" i="1"/>
  <c r="G167" i="1"/>
  <c r="AM166" i="1"/>
  <c r="AL166" i="1"/>
  <c r="AK166" i="1"/>
  <c r="AJ166" i="1"/>
  <c r="AI166" i="1"/>
  <c r="AH166" i="1"/>
  <c r="AF166" i="1"/>
  <c r="AG166" i="1" s="1"/>
  <c r="AB166" i="1"/>
  <c r="F166" i="1" s="1"/>
  <c r="Z166" i="1"/>
  <c r="U166" i="1"/>
  <c r="G166" i="1"/>
  <c r="AI165" i="1"/>
  <c r="AH165" i="1"/>
  <c r="AG165" i="1"/>
  <c r="AF165" i="1"/>
  <c r="AK165" i="1" s="1"/>
  <c r="AB165" i="1"/>
  <c r="S165" i="1"/>
  <c r="Q165" i="1"/>
  <c r="M165" i="1"/>
  <c r="G165" i="1"/>
  <c r="F165" i="1"/>
  <c r="AL164" i="1"/>
  <c r="AI164" i="1"/>
  <c r="AH164" i="1"/>
  <c r="AF164" i="1"/>
  <c r="AB164" i="1"/>
  <c r="G164" i="1"/>
  <c r="F164" i="1"/>
  <c r="U164" i="1" s="1"/>
  <c r="AM163" i="1"/>
  <c r="AL163" i="1"/>
  <c r="AK163" i="1"/>
  <c r="AJ163" i="1"/>
  <c r="AI163" i="1"/>
  <c r="AH163" i="1"/>
  <c r="AF163" i="1"/>
  <c r="AG163" i="1" s="1"/>
  <c r="AB163" i="1"/>
  <c r="F163" i="1" s="1"/>
  <c r="Z163" i="1"/>
  <c r="U163" i="1"/>
  <c r="S163" i="1"/>
  <c r="Q163" i="1"/>
  <c r="O163" i="1"/>
  <c r="M163" i="1"/>
  <c r="G163" i="1"/>
  <c r="AF162" i="1"/>
  <c r="AM162" i="1" s="1"/>
  <c r="Z162" i="1"/>
  <c r="V162" i="1"/>
  <c r="U162" i="1"/>
  <c r="S162" i="1"/>
  <c r="Q162" i="1"/>
  <c r="O162" i="1"/>
  <c r="M162" i="1"/>
  <c r="K162" i="1"/>
  <c r="I162" i="1"/>
  <c r="G162" i="1"/>
  <c r="AL161" i="1"/>
  <c r="AJ161" i="1"/>
  <c r="AG161" i="1"/>
  <c r="AF161" i="1"/>
  <c r="AM161" i="1" s="1"/>
  <c r="Z161" i="1"/>
  <c r="V161" i="1"/>
  <c r="U161" i="1"/>
  <c r="S161" i="1"/>
  <c r="Q161" i="1"/>
  <c r="O161" i="1"/>
  <c r="M161" i="1"/>
  <c r="K161" i="1"/>
  <c r="I161" i="1"/>
  <c r="G161" i="1"/>
  <c r="AF160" i="1"/>
  <c r="AB160" i="1"/>
  <c r="Z160" i="1"/>
  <c r="S160" i="1"/>
  <c r="Q160" i="1"/>
  <c r="M160" i="1"/>
  <c r="K160" i="1"/>
  <c r="I160" i="1"/>
  <c r="G160" i="1"/>
  <c r="F160" i="1"/>
  <c r="AL159" i="1"/>
  <c r="AI159" i="1"/>
  <c r="AH159" i="1"/>
  <c r="AF159" i="1"/>
  <c r="Z159" i="1"/>
  <c r="V159" i="1"/>
  <c r="U159" i="1"/>
  <c r="S159" i="1"/>
  <c r="O159" i="1"/>
  <c r="I159" i="1"/>
  <c r="G159" i="1"/>
  <c r="F159" i="1"/>
  <c r="Q159" i="1" s="1"/>
  <c r="AM158" i="1"/>
  <c r="AL158" i="1"/>
  <c r="AK158" i="1"/>
  <c r="AJ158" i="1"/>
  <c r="AI158" i="1"/>
  <c r="AH158" i="1"/>
  <c r="AG158" i="1"/>
  <c r="AF158" i="1"/>
  <c r="V158" i="1"/>
  <c r="U158" i="1"/>
  <c r="M158" i="1"/>
  <c r="K158" i="1"/>
  <c r="I158" i="1"/>
  <c r="G158" i="1"/>
  <c r="F158" i="1"/>
  <c r="AJ157" i="1"/>
  <c r="AH157" i="1"/>
  <c r="AG157" i="1"/>
  <c r="AF157" i="1"/>
  <c r="AK157" i="1" s="1"/>
  <c r="S157" i="1"/>
  <c r="M157" i="1"/>
  <c r="K157" i="1"/>
  <c r="G157" i="1"/>
  <c r="F157" i="1"/>
  <c r="AL156" i="1"/>
  <c r="AK156" i="1"/>
  <c r="AI156" i="1"/>
  <c r="AF156" i="1"/>
  <c r="AM156" i="1" s="1"/>
  <c r="Z156" i="1"/>
  <c r="V156" i="1"/>
  <c r="U156" i="1"/>
  <c r="S156" i="1"/>
  <c r="Q156" i="1"/>
  <c r="O156" i="1"/>
  <c r="M156" i="1"/>
  <c r="K156" i="1"/>
  <c r="I156" i="1"/>
  <c r="G156" i="1"/>
  <c r="F156" i="1"/>
  <c r="AI155" i="1"/>
  <c r="AH155" i="1"/>
  <c r="AG155" i="1"/>
  <c r="AF155" i="1"/>
  <c r="AK155" i="1" s="1"/>
  <c r="Z155" i="1"/>
  <c r="U155" i="1"/>
  <c r="S155" i="1"/>
  <c r="Q155" i="1"/>
  <c r="O155" i="1"/>
  <c r="M155" i="1"/>
  <c r="K155" i="1"/>
  <c r="I155" i="1"/>
  <c r="G155" i="1"/>
  <c r="AM154" i="1"/>
  <c r="AF154" i="1"/>
  <c r="Z154" i="1"/>
  <c r="V154" i="1"/>
  <c r="U154" i="1"/>
  <c r="S154" i="1"/>
  <c r="Q154" i="1"/>
  <c r="O154" i="1"/>
  <c r="M154" i="1"/>
  <c r="K154" i="1"/>
  <c r="I154" i="1"/>
  <c r="G154" i="1"/>
  <c r="AL153" i="1"/>
  <c r="AJ153" i="1"/>
  <c r="AI153" i="1"/>
  <c r="AH153" i="1"/>
  <c r="AF153" i="1"/>
  <c r="AK153" i="1" s="1"/>
  <c r="Z153" i="1"/>
  <c r="V153" i="1"/>
  <c r="U153" i="1"/>
  <c r="S153" i="1"/>
  <c r="Q153" i="1"/>
  <c r="O153" i="1"/>
  <c r="M153" i="1"/>
  <c r="K153" i="1"/>
  <c r="I153" i="1"/>
  <c r="G153" i="1"/>
  <c r="AM153" i="1" s="1"/>
  <c r="AF152" i="1"/>
  <c r="AJ152" i="1" s="1"/>
  <c r="Z152" i="1"/>
  <c r="V152" i="1"/>
  <c r="U152" i="1"/>
  <c r="S152" i="1"/>
  <c r="Q152" i="1"/>
  <c r="O152" i="1"/>
  <c r="M152" i="1"/>
  <c r="K152" i="1"/>
  <c r="I152" i="1"/>
  <c r="G152" i="1"/>
  <c r="AM151" i="1"/>
  <c r="AL151" i="1"/>
  <c r="AG151" i="1"/>
  <c r="AF151" i="1"/>
  <c r="Z151" i="1"/>
  <c r="V151" i="1"/>
  <c r="U151" i="1"/>
  <c r="S151" i="1"/>
  <c r="Q151" i="1"/>
  <c r="O151" i="1"/>
  <c r="M151" i="1"/>
  <c r="K151" i="1"/>
  <c r="I151" i="1"/>
  <c r="G151" i="1"/>
  <c r="AM150" i="1"/>
  <c r="AL150" i="1"/>
  <c r="AJ150" i="1"/>
  <c r="AG150" i="1"/>
  <c r="AF150" i="1"/>
  <c r="Z150" i="1"/>
  <c r="V150" i="1"/>
  <c r="U150" i="1"/>
  <c r="S150" i="1"/>
  <c r="Q150" i="1"/>
  <c r="O150" i="1"/>
  <c r="M150" i="1"/>
  <c r="K150" i="1"/>
  <c r="I150" i="1"/>
  <c r="G150" i="1"/>
  <c r="AI149" i="1"/>
  <c r="AH149" i="1"/>
  <c r="AG149" i="1"/>
  <c r="AF149" i="1"/>
  <c r="AK149" i="1" s="1"/>
  <c r="Z149" i="1"/>
  <c r="U149" i="1"/>
  <c r="S149" i="1"/>
  <c r="Q149" i="1"/>
  <c r="O149" i="1"/>
  <c r="M149" i="1"/>
  <c r="K149" i="1"/>
  <c r="I149" i="1"/>
  <c r="G149" i="1"/>
  <c r="AF148" i="1"/>
  <c r="Z148" i="1"/>
  <c r="V148" i="1"/>
  <c r="U148" i="1"/>
  <c r="S148" i="1"/>
  <c r="Q148" i="1"/>
  <c r="O148" i="1"/>
  <c r="M148" i="1"/>
  <c r="K148" i="1"/>
  <c r="I148" i="1"/>
  <c r="G148" i="1"/>
  <c r="AL147" i="1"/>
  <c r="AJ147" i="1"/>
  <c r="AI147" i="1"/>
  <c r="AH147" i="1"/>
  <c r="AF147" i="1"/>
  <c r="AK147" i="1" s="1"/>
  <c r="Z147" i="1"/>
  <c r="V147" i="1"/>
  <c r="U147" i="1"/>
  <c r="S147" i="1"/>
  <c r="Q147" i="1"/>
  <c r="O147" i="1"/>
  <c r="M147" i="1"/>
  <c r="K147" i="1"/>
  <c r="I147" i="1"/>
  <c r="G147" i="1"/>
  <c r="AM147" i="1" s="1"/>
  <c r="AF146" i="1"/>
  <c r="Z146" i="1"/>
  <c r="V146" i="1"/>
  <c r="U146" i="1"/>
  <c r="S146" i="1"/>
  <c r="Q146" i="1"/>
  <c r="O146" i="1"/>
  <c r="M146" i="1"/>
  <c r="K146" i="1"/>
  <c r="I146" i="1"/>
  <c r="G146" i="1"/>
  <c r="AF145" i="1"/>
  <c r="Z145" i="1"/>
  <c r="V145" i="1"/>
  <c r="U145" i="1"/>
  <c r="S145" i="1"/>
  <c r="Q145" i="1"/>
  <c r="O145" i="1"/>
  <c r="M145" i="1"/>
  <c r="K145" i="1"/>
  <c r="I145" i="1"/>
  <c r="G145" i="1"/>
  <c r="AM144" i="1"/>
  <c r="AL144" i="1"/>
  <c r="AJ144" i="1"/>
  <c r="AG144" i="1"/>
  <c r="AF144" i="1"/>
  <c r="U144" i="1"/>
  <c r="S144" i="1"/>
  <c r="Q144" i="1"/>
  <c r="G144" i="1"/>
  <c r="F144" i="1"/>
  <c r="AM143" i="1"/>
  <c r="AK143" i="1"/>
  <c r="AJ143" i="1"/>
  <c r="AI143" i="1"/>
  <c r="AH143" i="1"/>
  <c r="AG143" i="1"/>
  <c r="AF143" i="1"/>
  <c r="AL143" i="1" s="1"/>
  <c r="Z143" i="1"/>
  <c r="U143" i="1"/>
  <c r="S143" i="1"/>
  <c r="Q143" i="1"/>
  <c r="O143" i="1"/>
  <c r="M143" i="1"/>
  <c r="K143" i="1"/>
  <c r="I143" i="1"/>
  <c r="G143" i="1"/>
  <c r="V143" i="1" s="1"/>
  <c r="AL142" i="1"/>
  <c r="AK142" i="1"/>
  <c r="AH142" i="1"/>
  <c r="AG142" i="1"/>
  <c r="AF142" i="1"/>
  <c r="AJ142" i="1" s="1"/>
  <c r="Z142" i="1"/>
  <c r="V142" i="1"/>
  <c r="U142" i="1"/>
  <c r="S142" i="1"/>
  <c r="Q142" i="1"/>
  <c r="O142" i="1"/>
  <c r="M142" i="1"/>
  <c r="K142" i="1"/>
  <c r="I142" i="1"/>
  <c r="G142" i="1"/>
  <c r="AM142" i="1" s="1"/>
  <c r="AK141" i="1"/>
  <c r="AJ141" i="1"/>
  <c r="AI141" i="1"/>
  <c r="AH141" i="1"/>
  <c r="AG141" i="1"/>
  <c r="AF141" i="1"/>
  <c r="AL141" i="1" s="1"/>
  <c r="Z141" i="1"/>
  <c r="U141" i="1"/>
  <c r="S141" i="1"/>
  <c r="Q141" i="1"/>
  <c r="O141" i="1"/>
  <c r="M141" i="1"/>
  <c r="K141" i="1"/>
  <c r="I141" i="1"/>
  <c r="G141" i="1"/>
  <c r="AM140" i="1"/>
  <c r="AK140" i="1"/>
  <c r="AH140" i="1"/>
  <c r="AG140" i="1"/>
  <c r="AF140" i="1"/>
  <c r="AL140" i="1" s="1"/>
  <c r="AB140" i="1"/>
  <c r="F140" i="1" s="1"/>
  <c r="V140" i="1" s="1"/>
  <c r="Z140" i="1"/>
  <c r="G140" i="1"/>
  <c r="AM139" i="1"/>
  <c r="AL139" i="1"/>
  <c r="AK139" i="1"/>
  <c r="AJ139" i="1"/>
  <c r="AI139" i="1"/>
  <c r="AH139" i="1"/>
  <c r="AG139" i="1"/>
  <c r="AF139" i="1"/>
  <c r="G139" i="1"/>
  <c r="AL138" i="1"/>
  <c r="AK138" i="1"/>
  <c r="AI138" i="1"/>
  <c r="AF138" i="1"/>
  <c r="G138" i="1"/>
  <c r="F138" i="1"/>
  <c r="Z138" i="1" s="1"/>
  <c r="AM137" i="1"/>
  <c r="AL137" i="1"/>
  <c r="AK137" i="1"/>
  <c r="AJ137" i="1"/>
  <c r="AF137" i="1"/>
  <c r="AG137" i="1" s="1"/>
  <c r="Z137" i="1"/>
  <c r="V137" i="1"/>
  <c r="U137" i="1"/>
  <c r="S137" i="1"/>
  <c r="Q137" i="1"/>
  <c r="O137" i="1"/>
  <c r="M137" i="1"/>
  <c r="K137" i="1"/>
  <c r="I137" i="1"/>
  <c r="G137" i="1"/>
  <c r="F137" i="1"/>
  <c r="AL136" i="1"/>
  <c r="AK136" i="1"/>
  <c r="AI136" i="1"/>
  <c r="AH136" i="1"/>
  <c r="AG136" i="1"/>
  <c r="AF136" i="1"/>
  <c r="U136" i="1"/>
  <c r="O136" i="1"/>
  <c r="M136" i="1"/>
  <c r="G136" i="1"/>
  <c r="F136" i="1"/>
  <c r="AK135" i="1"/>
  <c r="AJ135" i="1"/>
  <c r="AI135" i="1"/>
  <c r="AF135" i="1"/>
  <c r="AG135" i="1" s="1"/>
  <c r="Z135" i="1"/>
  <c r="U135" i="1"/>
  <c r="S135" i="1"/>
  <c r="Q135" i="1"/>
  <c r="O135" i="1"/>
  <c r="M135" i="1"/>
  <c r="K135" i="1"/>
  <c r="I135" i="1"/>
  <c r="G135" i="1"/>
  <c r="V135" i="1" s="1"/>
  <c r="F135" i="1"/>
  <c r="AI134" i="1"/>
  <c r="AH134" i="1"/>
  <c r="AG134" i="1"/>
  <c r="AF134" i="1"/>
  <c r="G134" i="1"/>
  <c r="AK133" i="1"/>
  <c r="AH133" i="1"/>
  <c r="AG133" i="1"/>
  <c r="AF133" i="1"/>
  <c r="AL133" i="1" s="1"/>
  <c r="Z133" i="1"/>
  <c r="U133" i="1"/>
  <c r="S133" i="1"/>
  <c r="Q133" i="1"/>
  <c r="O133" i="1"/>
  <c r="M133" i="1"/>
  <c r="K133" i="1"/>
  <c r="I133" i="1"/>
  <c r="G133" i="1"/>
  <c r="V133" i="1" s="1"/>
  <c r="AL132" i="1"/>
  <c r="AK132" i="1"/>
  <c r="AJ132" i="1"/>
  <c r="AI132" i="1"/>
  <c r="AH132" i="1"/>
  <c r="AG132" i="1"/>
  <c r="AF132" i="1"/>
  <c r="Z132" i="1"/>
  <c r="U132" i="1"/>
  <c r="S132" i="1"/>
  <c r="Q132" i="1"/>
  <c r="O132" i="1"/>
  <c r="M132" i="1"/>
  <c r="K132" i="1"/>
  <c r="I132" i="1"/>
  <c r="G132" i="1"/>
  <c r="AM131" i="1"/>
  <c r="AK131" i="1"/>
  <c r="AH131" i="1"/>
  <c r="AG131" i="1"/>
  <c r="AF131" i="1"/>
  <c r="AL131" i="1" s="1"/>
  <c r="Z131" i="1"/>
  <c r="V131" i="1"/>
  <c r="U131" i="1"/>
  <c r="S131" i="1"/>
  <c r="Q131" i="1"/>
  <c r="O131" i="1"/>
  <c r="M131" i="1"/>
  <c r="K131" i="1"/>
  <c r="I131" i="1"/>
  <c r="G131" i="1"/>
  <c r="AL130" i="1"/>
  <c r="AK130" i="1"/>
  <c r="AJ130" i="1"/>
  <c r="AI130" i="1"/>
  <c r="AH130" i="1"/>
  <c r="AG130" i="1"/>
  <c r="AF130" i="1"/>
  <c r="Z130" i="1"/>
  <c r="U130" i="1"/>
  <c r="S130" i="1"/>
  <c r="Q130" i="1"/>
  <c r="O130" i="1"/>
  <c r="M130" i="1"/>
  <c r="K130" i="1"/>
  <c r="I130" i="1"/>
  <c r="G130" i="1"/>
  <c r="V130" i="1" s="1"/>
  <c r="AK129" i="1"/>
  <c r="AH129" i="1"/>
  <c r="AG129" i="1"/>
  <c r="AF129" i="1"/>
  <c r="AL129" i="1" s="1"/>
  <c r="Z129" i="1"/>
  <c r="U129" i="1"/>
  <c r="S129" i="1"/>
  <c r="Q129" i="1"/>
  <c r="O129" i="1"/>
  <c r="M129" i="1"/>
  <c r="K129" i="1"/>
  <c r="I129" i="1"/>
  <c r="G129" i="1"/>
  <c r="AM128" i="1"/>
  <c r="AL128" i="1"/>
  <c r="AK128" i="1"/>
  <c r="AJ128" i="1"/>
  <c r="AI128" i="1"/>
  <c r="AH128" i="1"/>
  <c r="AG128" i="1"/>
  <c r="AF128" i="1"/>
  <c r="Z128" i="1"/>
  <c r="U128" i="1"/>
  <c r="S128" i="1"/>
  <c r="Q128" i="1"/>
  <c r="O128" i="1"/>
  <c r="M128" i="1"/>
  <c r="K128" i="1"/>
  <c r="I128" i="1"/>
  <c r="G128" i="1"/>
  <c r="V128" i="1" s="1"/>
  <c r="AM127" i="1"/>
  <c r="AF127" i="1"/>
  <c r="AB127" i="1"/>
  <c r="F127" i="1" s="1"/>
  <c r="S127" i="1"/>
  <c r="Q127" i="1"/>
  <c r="O127" i="1"/>
  <c r="G127" i="1"/>
  <c r="AM126" i="1"/>
  <c r="AK126" i="1"/>
  <c r="AJ126" i="1"/>
  <c r="AF126" i="1"/>
  <c r="AL126" i="1" s="1"/>
  <c r="AB126" i="1"/>
  <c r="G126" i="1"/>
  <c r="F126" i="1"/>
  <c r="AM125" i="1"/>
  <c r="AK125" i="1"/>
  <c r="AH125" i="1"/>
  <c r="AG125" i="1"/>
  <c r="AF125" i="1"/>
  <c r="AL125" i="1" s="1"/>
  <c r="Z125" i="1"/>
  <c r="V125" i="1"/>
  <c r="U125" i="1"/>
  <c r="S125" i="1"/>
  <c r="Q125" i="1"/>
  <c r="O125" i="1"/>
  <c r="M125" i="1"/>
  <c r="K125" i="1"/>
  <c r="I125" i="1"/>
  <c r="G125" i="1"/>
  <c r="AL124" i="1"/>
  <c r="AK124" i="1"/>
  <c r="AJ124" i="1"/>
  <c r="AI124" i="1"/>
  <c r="AH124" i="1"/>
  <c r="AG124" i="1"/>
  <c r="AF124" i="1"/>
  <c r="Z124" i="1"/>
  <c r="U124" i="1"/>
  <c r="S124" i="1"/>
  <c r="Q124" i="1"/>
  <c r="O124" i="1"/>
  <c r="M124" i="1"/>
  <c r="K124" i="1"/>
  <c r="I124" i="1"/>
  <c r="G124" i="1"/>
  <c r="AG123" i="1"/>
  <c r="AF123" i="1"/>
  <c r="Z123" i="1"/>
  <c r="U123" i="1"/>
  <c r="S123" i="1"/>
  <c r="Q123" i="1"/>
  <c r="O123" i="1"/>
  <c r="M123" i="1"/>
  <c r="K123" i="1"/>
  <c r="I123" i="1"/>
  <c r="G123" i="1"/>
  <c r="V123" i="1" s="1"/>
  <c r="AF122" i="1"/>
  <c r="AH122" i="1" s="1"/>
  <c r="Z122" i="1"/>
  <c r="U122" i="1"/>
  <c r="S122" i="1"/>
  <c r="Q122" i="1"/>
  <c r="O122" i="1"/>
  <c r="M122" i="1"/>
  <c r="K122" i="1"/>
  <c r="I122" i="1"/>
  <c r="G122" i="1"/>
  <c r="V122" i="1" s="1"/>
  <c r="AL121" i="1"/>
  <c r="AK121" i="1"/>
  <c r="AH121" i="1"/>
  <c r="AF121" i="1"/>
  <c r="Z121" i="1"/>
  <c r="U121" i="1"/>
  <c r="M121" i="1"/>
  <c r="G121" i="1"/>
  <c r="V121" i="1" s="1"/>
  <c r="F121" i="1"/>
  <c r="AJ120" i="1"/>
  <c r="AI120" i="1"/>
  <c r="AH120" i="1"/>
  <c r="AF120" i="1"/>
  <c r="AL120" i="1" s="1"/>
  <c r="Z120" i="1"/>
  <c r="U120" i="1"/>
  <c r="S120" i="1"/>
  <c r="Q120" i="1"/>
  <c r="O120" i="1"/>
  <c r="M120" i="1"/>
  <c r="K120" i="1"/>
  <c r="I120" i="1"/>
  <c r="G120" i="1"/>
  <c r="AF119" i="1"/>
  <c r="Z119" i="1"/>
  <c r="V119" i="1"/>
  <c r="U119" i="1"/>
  <c r="S119" i="1"/>
  <c r="Q119" i="1"/>
  <c r="O119" i="1"/>
  <c r="M119" i="1"/>
  <c r="K119" i="1"/>
  <c r="I119" i="1"/>
  <c r="G119" i="1"/>
  <c r="AM118" i="1"/>
  <c r="AL118" i="1"/>
  <c r="AK118" i="1"/>
  <c r="AF118" i="1"/>
  <c r="Z118" i="1"/>
  <c r="U118" i="1"/>
  <c r="S118" i="1"/>
  <c r="Q118" i="1"/>
  <c r="O118" i="1"/>
  <c r="M118" i="1"/>
  <c r="K118" i="1"/>
  <c r="I118" i="1"/>
  <c r="G118" i="1"/>
  <c r="V118" i="1" s="1"/>
  <c r="AL117" i="1"/>
  <c r="AI117" i="1"/>
  <c r="AH117" i="1"/>
  <c r="AF117" i="1"/>
  <c r="Z117" i="1"/>
  <c r="V117" i="1"/>
  <c r="U117" i="1"/>
  <c r="S117" i="1"/>
  <c r="Q117" i="1"/>
  <c r="O117" i="1"/>
  <c r="M117" i="1"/>
  <c r="K117" i="1"/>
  <c r="I117" i="1"/>
  <c r="G117" i="1"/>
  <c r="AL116" i="1"/>
  <c r="AK116" i="1"/>
  <c r="AJ116" i="1"/>
  <c r="AI116" i="1"/>
  <c r="AH116" i="1"/>
  <c r="AG116" i="1"/>
  <c r="AF116" i="1"/>
  <c r="Z116" i="1"/>
  <c r="U116" i="1"/>
  <c r="S116" i="1"/>
  <c r="Q116" i="1"/>
  <c r="O116" i="1"/>
  <c r="M116" i="1"/>
  <c r="K116" i="1"/>
  <c r="I116" i="1"/>
  <c r="G116" i="1"/>
  <c r="AM115" i="1"/>
  <c r="AF115" i="1"/>
  <c r="Z115" i="1"/>
  <c r="V115" i="1"/>
  <c r="U115" i="1"/>
  <c r="S115" i="1"/>
  <c r="Q115" i="1"/>
  <c r="O115" i="1"/>
  <c r="M115" i="1"/>
  <c r="K115" i="1"/>
  <c r="I115" i="1"/>
  <c r="G115" i="1"/>
  <c r="AF114" i="1"/>
  <c r="AK114" i="1" s="1"/>
  <c r="U114" i="1"/>
  <c r="S114" i="1"/>
  <c r="M114" i="1"/>
  <c r="K114" i="1"/>
  <c r="I114" i="1"/>
  <c r="G114" i="1"/>
  <c r="F114" i="1"/>
  <c r="AJ113" i="1"/>
  <c r="AI113" i="1"/>
  <c r="AH113" i="1"/>
  <c r="AG113" i="1"/>
  <c r="AF113" i="1"/>
  <c r="V113" i="1"/>
  <c r="G113" i="1"/>
  <c r="AM113" i="1" s="1"/>
  <c r="F113" i="1"/>
  <c r="AM112" i="1"/>
  <c r="AL112" i="1"/>
  <c r="AK112" i="1"/>
  <c r="AJ112" i="1"/>
  <c r="AI112" i="1"/>
  <c r="AH112" i="1"/>
  <c r="AF112" i="1"/>
  <c r="AG112" i="1" s="1"/>
  <c r="Z112" i="1"/>
  <c r="U112" i="1"/>
  <c r="S112" i="1"/>
  <c r="Q112" i="1"/>
  <c r="O112" i="1"/>
  <c r="M112" i="1"/>
  <c r="K112" i="1"/>
  <c r="I112" i="1"/>
  <c r="G112" i="1"/>
  <c r="V112" i="1" s="1"/>
  <c r="F112" i="1"/>
  <c r="AL111" i="1"/>
  <c r="AH111" i="1"/>
  <c r="AG111" i="1"/>
  <c r="AF111" i="1"/>
  <c r="Z111" i="1"/>
  <c r="U111" i="1"/>
  <c r="S111" i="1"/>
  <c r="Q111" i="1"/>
  <c r="O111" i="1"/>
  <c r="M111" i="1"/>
  <c r="K111" i="1"/>
  <c r="I111" i="1"/>
  <c r="G111" i="1"/>
  <c r="V111" i="1" s="1"/>
  <c r="AM110" i="1"/>
  <c r="AL110" i="1"/>
  <c r="AF110" i="1"/>
  <c r="Z110" i="1"/>
  <c r="V110" i="1"/>
  <c r="U110" i="1"/>
  <c r="S110" i="1"/>
  <c r="Q110" i="1"/>
  <c r="O110" i="1"/>
  <c r="M110" i="1"/>
  <c r="K110" i="1"/>
  <c r="I110" i="1"/>
  <c r="G110" i="1"/>
  <c r="AK109" i="1"/>
  <c r="AJ109" i="1"/>
  <c r="AI109" i="1"/>
  <c r="AF109" i="1"/>
  <c r="Z109" i="1"/>
  <c r="V109" i="1"/>
  <c r="U109" i="1"/>
  <c r="G109" i="1"/>
  <c r="F109" i="1"/>
  <c r="AF108" i="1"/>
  <c r="U108" i="1"/>
  <c r="S108" i="1"/>
  <c r="Q108" i="1"/>
  <c r="K108" i="1"/>
  <c r="I108" i="1"/>
  <c r="G108" i="1"/>
  <c r="F108" i="1"/>
  <c r="AI107" i="1"/>
  <c r="AH107" i="1"/>
  <c r="AG107" i="1"/>
  <c r="AF107" i="1"/>
  <c r="AM107" i="1" s="1"/>
  <c r="G107" i="1"/>
  <c r="AF106" i="1"/>
  <c r="AL106" i="1" s="1"/>
  <c r="G106" i="1"/>
  <c r="AF105" i="1"/>
  <c r="G105" i="1"/>
  <c r="AF104" i="1"/>
  <c r="AB104" i="1"/>
  <c r="F104" i="1" s="1"/>
  <c r="M104" i="1" s="1"/>
  <c r="Z104" i="1"/>
  <c r="G104" i="1"/>
  <c r="AL103" i="1"/>
  <c r="AK103" i="1"/>
  <c r="AJ103" i="1"/>
  <c r="AF103" i="1"/>
  <c r="AB103" i="1"/>
  <c r="F103" i="1" s="1"/>
  <c r="S103" i="1" s="1"/>
  <c r="Z103" i="1"/>
  <c r="V103" i="1"/>
  <c r="U103" i="1"/>
  <c r="M103" i="1"/>
  <c r="G103" i="1"/>
  <c r="AF102" i="1"/>
  <c r="Z102" i="1"/>
  <c r="V102" i="1"/>
  <c r="Q102" i="1"/>
  <c r="K102" i="1"/>
  <c r="I102" i="1"/>
  <c r="G102" i="1"/>
  <c r="F102" i="1"/>
  <c r="AL101" i="1"/>
  <c r="AK101" i="1"/>
  <c r="AJ101" i="1"/>
  <c r="AI101" i="1"/>
  <c r="AH101" i="1"/>
  <c r="AF101" i="1"/>
  <c r="AG101" i="1" s="1"/>
  <c r="Z101" i="1"/>
  <c r="U101" i="1"/>
  <c r="S101" i="1"/>
  <c r="Q101" i="1"/>
  <c r="O101" i="1"/>
  <c r="M101" i="1"/>
  <c r="K101" i="1"/>
  <c r="I101" i="1"/>
  <c r="G101" i="1"/>
  <c r="AM101" i="1" s="1"/>
  <c r="F101" i="1"/>
  <c r="AK100" i="1"/>
  <c r="AJ100" i="1"/>
  <c r="AI100" i="1"/>
  <c r="AF100" i="1"/>
  <c r="V100" i="1"/>
  <c r="G100" i="1"/>
  <c r="F100" i="1"/>
  <c r="I100" i="1" s="1"/>
  <c r="AJ99" i="1"/>
  <c r="AG99" i="1"/>
  <c r="AF99" i="1"/>
  <c r="S99" i="1"/>
  <c r="Q99" i="1"/>
  <c r="O99" i="1"/>
  <c r="G99" i="1"/>
  <c r="F99" i="1"/>
  <c r="AL98" i="1"/>
  <c r="AK98" i="1"/>
  <c r="AH98" i="1"/>
  <c r="AF98" i="1"/>
  <c r="AM98" i="1" s="1"/>
  <c r="Z98" i="1"/>
  <c r="S98" i="1"/>
  <c r="Q98" i="1"/>
  <c r="O98" i="1"/>
  <c r="M98" i="1"/>
  <c r="K98" i="1"/>
  <c r="I98" i="1"/>
  <c r="G98" i="1"/>
  <c r="F98" i="1"/>
  <c r="AM97" i="1"/>
  <c r="AL97" i="1"/>
  <c r="AI97" i="1"/>
  <c r="AF97" i="1"/>
  <c r="V97" i="1"/>
  <c r="U97" i="1"/>
  <c r="G97" i="1"/>
  <c r="F97" i="1"/>
  <c r="AL96" i="1"/>
  <c r="AK96" i="1"/>
  <c r="AJ96" i="1"/>
  <c r="AI96" i="1"/>
  <c r="AH96" i="1"/>
  <c r="AG96" i="1"/>
  <c r="AF96" i="1"/>
  <c r="U96" i="1"/>
  <c r="G96" i="1"/>
  <c r="AM96" i="1" s="1"/>
  <c r="F96" i="1"/>
  <c r="AK95" i="1"/>
  <c r="AF95" i="1"/>
  <c r="AB95" i="1"/>
  <c r="U95" i="1"/>
  <c r="O95" i="1"/>
  <c r="G95" i="1"/>
  <c r="F95" i="1"/>
  <c r="AM94" i="1"/>
  <c r="AL94" i="1"/>
  <c r="AF94" i="1"/>
  <c r="Z94" i="1"/>
  <c r="V94" i="1"/>
  <c r="U94" i="1"/>
  <c r="S94" i="1"/>
  <c r="Q94" i="1"/>
  <c r="O94" i="1"/>
  <c r="M94" i="1"/>
  <c r="K94" i="1"/>
  <c r="I94" i="1"/>
  <c r="G94" i="1"/>
  <c r="AL93" i="1"/>
  <c r="AF93" i="1"/>
  <c r="AI93" i="1" s="1"/>
  <c r="Z93" i="1"/>
  <c r="V93" i="1"/>
  <c r="U93" i="1"/>
  <c r="S93" i="1"/>
  <c r="Q93" i="1"/>
  <c r="O93" i="1"/>
  <c r="M93" i="1"/>
  <c r="K93" i="1"/>
  <c r="I93" i="1"/>
  <c r="G93" i="1"/>
  <c r="AL92" i="1"/>
  <c r="AK92" i="1"/>
  <c r="AJ92" i="1"/>
  <c r="AF92" i="1"/>
  <c r="Z92" i="1"/>
  <c r="V92" i="1"/>
  <c r="U92" i="1"/>
  <c r="S92" i="1"/>
  <c r="Q92" i="1"/>
  <c r="O92" i="1"/>
  <c r="M92" i="1"/>
  <c r="K92" i="1"/>
  <c r="I92" i="1"/>
  <c r="G92" i="1"/>
  <c r="AL91" i="1"/>
  <c r="AK91" i="1"/>
  <c r="AJ91" i="1"/>
  <c r="AI91" i="1"/>
  <c r="AH91" i="1"/>
  <c r="AG91" i="1"/>
  <c r="AF91" i="1"/>
  <c r="Z91" i="1"/>
  <c r="V91" i="1"/>
  <c r="U91" i="1"/>
  <c r="S91" i="1"/>
  <c r="Q91" i="1"/>
  <c r="O91" i="1"/>
  <c r="M91" i="1"/>
  <c r="K91" i="1"/>
  <c r="I91" i="1"/>
  <c r="G91" i="1"/>
  <c r="AM91" i="1" s="1"/>
  <c r="AM90" i="1"/>
  <c r="AJ90" i="1"/>
  <c r="AG90" i="1"/>
  <c r="AF90" i="1"/>
  <c r="Z90" i="1"/>
  <c r="V90" i="1"/>
  <c r="U90" i="1"/>
  <c r="S90" i="1"/>
  <c r="Q90" i="1"/>
  <c r="O90" i="1"/>
  <c r="M90" i="1"/>
  <c r="K90" i="1"/>
  <c r="I90" i="1"/>
  <c r="G90" i="1"/>
  <c r="AM89" i="1"/>
  <c r="AF89" i="1"/>
  <c r="AH89" i="1" s="1"/>
  <c r="Z89" i="1"/>
  <c r="U89" i="1"/>
  <c r="S89" i="1"/>
  <c r="Q89" i="1"/>
  <c r="O89" i="1"/>
  <c r="M89" i="1"/>
  <c r="K89" i="1"/>
  <c r="I89" i="1"/>
  <c r="G89" i="1"/>
  <c r="V89" i="1" s="1"/>
  <c r="AJ88" i="1"/>
  <c r="AI88" i="1"/>
  <c r="AH88" i="1"/>
  <c r="AG88" i="1"/>
  <c r="AF88" i="1"/>
  <c r="Z88" i="1"/>
  <c r="U88" i="1"/>
  <c r="S88" i="1"/>
  <c r="Q88" i="1"/>
  <c r="O88" i="1"/>
  <c r="M88" i="1"/>
  <c r="K88" i="1"/>
  <c r="I88" i="1"/>
  <c r="G88" i="1"/>
  <c r="V88" i="1" s="1"/>
  <c r="AI87" i="1"/>
  <c r="AH87" i="1"/>
  <c r="AG87" i="1"/>
  <c r="AF87" i="1"/>
  <c r="Z87" i="1"/>
  <c r="U87" i="1"/>
  <c r="S87" i="1"/>
  <c r="Q87" i="1"/>
  <c r="O87" i="1"/>
  <c r="M87" i="1"/>
  <c r="K87" i="1"/>
  <c r="I87" i="1"/>
  <c r="G87" i="1"/>
  <c r="V87" i="1" s="1"/>
  <c r="AM86" i="1"/>
  <c r="AL86" i="1"/>
  <c r="AK86" i="1"/>
  <c r="AJ86" i="1"/>
  <c r="AI86" i="1"/>
  <c r="AH86" i="1"/>
  <c r="AG86" i="1"/>
  <c r="AF86" i="1"/>
  <c r="Z86" i="1"/>
  <c r="U86" i="1"/>
  <c r="S86" i="1"/>
  <c r="Q86" i="1"/>
  <c r="O86" i="1"/>
  <c r="M86" i="1"/>
  <c r="K86" i="1"/>
  <c r="I86" i="1"/>
  <c r="G86" i="1"/>
  <c r="V86" i="1" s="1"/>
  <c r="AM85" i="1"/>
  <c r="AJ85" i="1"/>
  <c r="AF85" i="1"/>
  <c r="Z85" i="1"/>
  <c r="V85" i="1"/>
  <c r="U85" i="1"/>
  <c r="S85" i="1"/>
  <c r="Q85" i="1"/>
  <c r="O85" i="1"/>
  <c r="M85" i="1"/>
  <c r="K85" i="1"/>
  <c r="I85" i="1"/>
  <c r="G85" i="1"/>
  <c r="AM84" i="1"/>
  <c r="AL84" i="1"/>
  <c r="AK84" i="1"/>
  <c r="AJ84" i="1"/>
  <c r="AI84" i="1"/>
  <c r="AH84" i="1"/>
  <c r="AG84" i="1"/>
  <c r="AF84" i="1"/>
  <c r="Z84" i="1"/>
  <c r="V84" i="1"/>
  <c r="U84" i="1"/>
  <c r="S84" i="1"/>
  <c r="Q84" i="1"/>
  <c r="O84" i="1"/>
  <c r="M84" i="1"/>
  <c r="K84" i="1"/>
  <c r="I84" i="1"/>
  <c r="G84" i="1"/>
  <c r="AJ83" i="1"/>
  <c r="AI83" i="1"/>
  <c r="AH83" i="1"/>
  <c r="AF83" i="1"/>
  <c r="Z83" i="1"/>
  <c r="V83" i="1"/>
  <c r="U83" i="1"/>
  <c r="S83" i="1"/>
  <c r="Q83" i="1"/>
  <c r="O83" i="1"/>
  <c r="M83" i="1"/>
  <c r="K83" i="1"/>
  <c r="I83" i="1"/>
  <c r="G83" i="1"/>
  <c r="AM83" i="1" s="1"/>
  <c r="AL82" i="1"/>
  <c r="AK82" i="1"/>
  <c r="AJ82" i="1"/>
  <c r="AI82" i="1"/>
  <c r="AH82" i="1"/>
  <c r="AG82" i="1"/>
  <c r="AF82" i="1"/>
  <c r="Z82" i="1"/>
  <c r="V82" i="1"/>
  <c r="U82" i="1"/>
  <c r="S82" i="1"/>
  <c r="Q82" i="1"/>
  <c r="O82" i="1"/>
  <c r="M82" i="1"/>
  <c r="K82" i="1"/>
  <c r="I82" i="1"/>
  <c r="G82" i="1"/>
  <c r="AM82" i="1" s="1"/>
  <c r="AF81" i="1"/>
  <c r="AI81" i="1" s="1"/>
  <c r="Z81" i="1"/>
  <c r="U81" i="1"/>
  <c r="S81" i="1"/>
  <c r="Q81" i="1"/>
  <c r="O81" i="1"/>
  <c r="M81" i="1"/>
  <c r="K81" i="1"/>
  <c r="I81" i="1"/>
  <c r="G81" i="1"/>
  <c r="V81" i="1" s="1"/>
  <c r="AM80" i="1"/>
  <c r="AL80" i="1"/>
  <c r="AK80" i="1"/>
  <c r="AJ80" i="1"/>
  <c r="AI80" i="1"/>
  <c r="AH80" i="1"/>
  <c r="AG80" i="1"/>
  <c r="AF80" i="1"/>
  <c r="Z80" i="1"/>
  <c r="U80" i="1"/>
  <c r="S80" i="1"/>
  <c r="Q80" i="1"/>
  <c r="O80" i="1"/>
  <c r="M80" i="1"/>
  <c r="K80" i="1"/>
  <c r="I80" i="1"/>
  <c r="G80" i="1"/>
  <c r="V80" i="1" s="1"/>
  <c r="AF79" i="1"/>
  <c r="Z79" i="1"/>
  <c r="V79" i="1"/>
  <c r="U79" i="1"/>
  <c r="S79" i="1"/>
  <c r="Q79" i="1"/>
  <c r="O79" i="1"/>
  <c r="M79" i="1"/>
  <c r="K79" i="1"/>
  <c r="I79" i="1"/>
  <c r="G79" i="1"/>
  <c r="AM78" i="1"/>
  <c r="AL78" i="1"/>
  <c r="AK78" i="1"/>
  <c r="AJ78" i="1"/>
  <c r="AI78" i="1"/>
  <c r="AH78" i="1"/>
  <c r="AG78" i="1"/>
  <c r="AF78" i="1"/>
  <c r="Z78" i="1"/>
  <c r="V78" i="1"/>
  <c r="U78" i="1"/>
  <c r="S78" i="1"/>
  <c r="Q78" i="1"/>
  <c r="O78" i="1"/>
  <c r="M78" i="1"/>
  <c r="K78" i="1"/>
  <c r="I78" i="1"/>
  <c r="G78" i="1"/>
  <c r="AM77" i="1"/>
  <c r="AJ77" i="1"/>
  <c r="AI77" i="1"/>
  <c r="AF77" i="1"/>
  <c r="Z77" i="1"/>
  <c r="V77" i="1"/>
  <c r="U77" i="1"/>
  <c r="S77" i="1"/>
  <c r="Q77" i="1"/>
  <c r="O77" i="1"/>
  <c r="M77" i="1"/>
  <c r="K77" i="1"/>
  <c r="I77" i="1"/>
  <c r="G77" i="1"/>
  <c r="AL76" i="1"/>
  <c r="AK76" i="1"/>
  <c r="AJ76" i="1"/>
  <c r="AI76" i="1"/>
  <c r="AH76" i="1"/>
  <c r="AG76" i="1"/>
  <c r="AF76" i="1"/>
  <c r="Z76" i="1"/>
  <c r="U76" i="1"/>
  <c r="S76" i="1"/>
  <c r="Q76" i="1"/>
  <c r="O76" i="1"/>
  <c r="M76" i="1"/>
  <c r="K76" i="1"/>
  <c r="I76" i="1"/>
  <c r="G76" i="1"/>
  <c r="AM76" i="1" s="1"/>
  <c r="AJ75" i="1"/>
  <c r="AI75" i="1"/>
  <c r="AH75" i="1"/>
  <c r="AF75" i="1"/>
  <c r="AK75" i="1" s="1"/>
  <c r="Z75" i="1"/>
  <c r="U75" i="1"/>
  <c r="S75" i="1"/>
  <c r="Q75" i="1"/>
  <c r="O75" i="1"/>
  <c r="M75" i="1"/>
  <c r="K75" i="1"/>
  <c r="I75" i="1"/>
  <c r="G75" i="1"/>
  <c r="V75" i="1" s="1"/>
  <c r="AL74" i="1"/>
  <c r="AK74" i="1"/>
  <c r="AJ74" i="1"/>
  <c r="AI74" i="1"/>
  <c r="AH74" i="1"/>
  <c r="AG74" i="1"/>
  <c r="AF74" i="1"/>
  <c r="Z74" i="1"/>
  <c r="U74" i="1"/>
  <c r="S74" i="1"/>
  <c r="Q74" i="1"/>
  <c r="O74" i="1"/>
  <c r="M74" i="1"/>
  <c r="K74" i="1"/>
  <c r="I74" i="1"/>
  <c r="G74" i="1"/>
  <c r="AM74" i="1" s="1"/>
  <c r="AM73" i="1"/>
  <c r="AI73" i="1"/>
  <c r="AH73" i="1"/>
  <c r="AG73" i="1"/>
  <c r="AF73" i="1"/>
  <c r="AK73" i="1" s="1"/>
  <c r="Z73" i="1"/>
  <c r="U73" i="1"/>
  <c r="S73" i="1"/>
  <c r="Q73" i="1"/>
  <c r="O73" i="1"/>
  <c r="M73" i="1"/>
  <c r="K73" i="1"/>
  <c r="I73" i="1"/>
  <c r="G73" i="1"/>
  <c r="V73" i="1" s="1"/>
  <c r="AF72" i="1"/>
  <c r="AM72" i="1" s="1"/>
  <c r="Z72" i="1"/>
  <c r="U72" i="1"/>
  <c r="S72" i="1"/>
  <c r="Q72" i="1"/>
  <c r="O72" i="1"/>
  <c r="M72" i="1"/>
  <c r="K72" i="1"/>
  <c r="I72" i="1"/>
  <c r="G72" i="1"/>
  <c r="V72" i="1" s="1"/>
  <c r="AM71" i="1"/>
  <c r="AL71" i="1"/>
  <c r="AH71" i="1"/>
  <c r="AF71" i="1"/>
  <c r="AB71" i="1"/>
  <c r="U71" i="1"/>
  <c r="S71" i="1"/>
  <c r="Q71" i="1"/>
  <c r="G71" i="1"/>
  <c r="F71" i="1"/>
  <c r="AI70" i="1"/>
  <c r="AH70" i="1"/>
  <c r="AF70" i="1"/>
  <c r="Z70" i="1"/>
  <c r="U70" i="1"/>
  <c r="S70" i="1"/>
  <c r="Q70" i="1"/>
  <c r="O70" i="1"/>
  <c r="M70" i="1"/>
  <c r="K70" i="1"/>
  <c r="I70" i="1"/>
  <c r="G70" i="1"/>
  <c r="V70" i="1" s="1"/>
  <c r="AL69" i="1"/>
  <c r="AK69" i="1"/>
  <c r="AG69" i="1"/>
  <c r="AF69" i="1"/>
  <c r="Z69" i="1"/>
  <c r="V69" i="1"/>
  <c r="U69" i="1"/>
  <c r="S69" i="1"/>
  <c r="Q69" i="1"/>
  <c r="O69" i="1"/>
  <c r="M69" i="1"/>
  <c r="K69" i="1"/>
  <c r="I69" i="1"/>
  <c r="G69" i="1"/>
  <c r="AF68" i="1"/>
  <c r="AL68" i="1" s="1"/>
  <c r="Z68" i="1"/>
  <c r="V68" i="1"/>
  <c r="U68" i="1"/>
  <c r="S68" i="1"/>
  <c r="Q68" i="1"/>
  <c r="O68" i="1"/>
  <c r="M68" i="1"/>
  <c r="K68" i="1"/>
  <c r="I68" i="1"/>
  <c r="G68" i="1"/>
  <c r="F68" i="1"/>
  <c r="AL67" i="1"/>
  <c r="AJ67" i="1"/>
  <c r="AF67" i="1"/>
  <c r="Z67" i="1"/>
  <c r="U67" i="1"/>
  <c r="S67" i="1"/>
  <c r="O67" i="1"/>
  <c r="M67" i="1"/>
  <c r="K67" i="1"/>
  <c r="I67" i="1"/>
  <c r="G67" i="1"/>
  <c r="AM67" i="1" s="1"/>
  <c r="F67" i="1"/>
  <c r="Q67" i="1" s="1"/>
  <c r="AL66" i="1"/>
  <c r="AK66" i="1"/>
  <c r="AJ66" i="1"/>
  <c r="AH66" i="1"/>
  <c r="AF66" i="1"/>
  <c r="AB66" i="1"/>
  <c r="F66" i="1" s="1"/>
  <c r="Q66" i="1" s="1"/>
  <c r="Z66" i="1"/>
  <c r="V66" i="1"/>
  <c r="U66" i="1"/>
  <c r="S66" i="1"/>
  <c r="M66" i="1"/>
  <c r="K66" i="1"/>
  <c r="I66" i="1"/>
  <c r="G66" i="1"/>
  <c r="AM66" i="1" s="1"/>
  <c r="AK65" i="1"/>
  <c r="AJ65" i="1"/>
  <c r="AH65" i="1"/>
  <c r="AF65" i="1"/>
  <c r="AB65" i="1"/>
  <c r="U65" i="1"/>
  <c r="S65" i="1"/>
  <c r="I65" i="1"/>
  <c r="G65" i="1"/>
  <c r="F65" i="1"/>
  <c r="AJ64" i="1"/>
  <c r="AI64" i="1"/>
  <c r="AG64" i="1"/>
  <c r="AF64" i="1"/>
  <c r="AH64" i="1" s="1"/>
  <c r="AB64" i="1"/>
  <c r="U64" i="1"/>
  <c r="S64" i="1"/>
  <c r="Q64" i="1"/>
  <c r="G64" i="1"/>
  <c r="V64" i="1" s="1"/>
  <c r="F64" i="1"/>
  <c r="AL63" i="1"/>
  <c r="AK63" i="1"/>
  <c r="AJ63" i="1"/>
  <c r="AI63" i="1"/>
  <c r="AH63" i="1"/>
  <c r="AG63" i="1"/>
  <c r="AF63" i="1"/>
  <c r="AB63" i="1"/>
  <c r="G63" i="1"/>
  <c r="AM63" i="1" s="1"/>
  <c r="F63" i="1"/>
  <c r="K63" i="1" s="1"/>
  <c r="AJ62" i="1"/>
  <c r="AI62" i="1"/>
  <c r="AH62" i="1"/>
  <c r="AF62" i="1"/>
  <c r="AL62" i="1" s="1"/>
  <c r="AB62" i="1"/>
  <c r="F62" i="1" s="1"/>
  <c r="V62" i="1" s="1"/>
  <c r="Z62" i="1"/>
  <c r="I62" i="1"/>
  <c r="G62" i="1"/>
  <c r="AF61" i="1"/>
  <c r="AJ61" i="1" s="1"/>
  <c r="AB61" i="1"/>
  <c r="G61" i="1"/>
  <c r="F61" i="1"/>
  <c r="K61" i="1" s="1"/>
  <c r="AK60" i="1"/>
  <c r="AJ60" i="1"/>
  <c r="AI60" i="1"/>
  <c r="AF60" i="1"/>
  <c r="AB60" i="1"/>
  <c r="F60" i="1" s="1"/>
  <c r="V60" i="1" s="1"/>
  <c r="Z60" i="1"/>
  <c r="I60" i="1"/>
  <c r="G60" i="1"/>
  <c r="AF59" i="1"/>
  <c r="AH59" i="1" s="1"/>
  <c r="AB59" i="1"/>
  <c r="V59" i="1"/>
  <c r="G59" i="1"/>
  <c r="F59" i="1"/>
  <c r="I59" i="1" s="1"/>
  <c r="AJ58" i="1"/>
  <c r="AI58" i="1"/>
  <c r="AH58" i="1"/>
  <c r="AF58" i="1"/>
  <c r="AL58" i="1" s="1"/>
  <c r="AB58" i="1"/>
  <c r="S58" i="1"/>
  <c r="O58" i="1"/>
  <c r="I58" i="1"/>
  <c r="G58" i="1"/>
  <c r="V58" i="1" s="1"/>
  <c r="F58" i="1"/>
  <c r="U58" i="1" s="1"/>
  <c r="AF57" i="1"/>
  <c r="AB57" i="1"/>
  <c r="G57" i="1"/>
  <c r="F57" i="1"/>
  <c r="U57" i="1" s="1"/>
  <c r="AF56" i="1"/>
  <c r="AL56" i="1" s="1"/>
  <c r="AB56" i="1"/>
  <c r="U56" i="1"/>
  <c r="Q56" i="1"/>
  <c r="O56" i="1"/>
  <c r="I56" i="1"/>
  <c r="G56" i="1"/>
  <c r="F56" i="1"/>
  <c r="V56" i="1" s="1"/>
  <c r="AK55" i="1"/>
  <c r="AI55" i="1"/>
  <c r="AH55" i="1"/>
  <c r="AG55" i="1"/>
  <c r="AF55" i="1"/>
  <c r="AB55" i="1"/>
  <c r="U55" i="1"/>
  <c r="S55" i="1"/>
  <c r="M55" i="1"/>
  <c r="G55" i="1"/>
  <c r="F55" i="1"/>
  <c r="V55" i="1" s="1"/>
  <c r="AK54" i="1"/>
  <c r="AI54" i="1"/>
  <c r="AH54" i="1"/>
  <c r="AF54" i="1"/>
  <c r="AM54" i="1" s="1"/>
  <c r="AB54" i="1"/>
  <c r="U54" i="1"/>
  <c r="G54" i="1"/>
  <c r="F54" i="1"/>
  <c r="K54" i="1" s="1"/>
  <c r="AF53" i="1"/>
  <c r="AK53" i="1" s="1"/>
  <c r="AB53" i="1"/>
  <c r="Q53" i="1"/>
  <c r="O53" i="1"/>
  <c r="G53" i="1"/>
  <c r="F53" i="1"/>
  <c r="AM52" i="1"/>
  <c r="AL52" i="1"/>
  <c r="AF52" i="1"/>
  <c r="AK52" i="1" s="1"/>
  <c r="AB52" i="1"/>
  <c r="F52" i="1" s="1"/>
  <c r="G52" i="1"/>
  <c r="AM51" i="1"/>
  <c r="AJ51" i="1"/>
  <c r="AI51" i="1"/>
  <c r="AH51" i="1"/>
  <c r="AF51" i="1"/>
  <c r="AB51" i="1"/>
  <c r="U51" i="1"/>
  <c r="S51" i="1"/>
  <c r="G51" i="1"/>
  <c r="F51" i="1"/>
  <c r="K51" i="1" s="1"/>
  <c r="AM50" i="1"/>
  <c r="AF50" i="1"/>
  <c r="Z50" i="1"/>
  <c r="V50" i="1"/>
  <c r="U50" i="1"/>
  <c r="S50" i="1"/>
  <c r="Q50" i="1"/>
  <c r="O50" i="1"/>
  <c r="M50" i="1"/>
  <c r="K50" i="1"/>
  <c r="I50" i="1"/>
  <c r="G50" i="1"/>
  <c r="AL49" i="1"/>
  <c r="AK49" i="1"/>
  <c r="AJ49" i="1"/>
  <c r="AH49" i="1"/>
  <c r="AF49" i="1"/>
  <c r="Z49" i="1"/>
  <c r="V49" i="1"/>
  <c r="U49" i="1"/>
  <c r="S49" i="1"/>
  <c r="Q49" i="1"/>
  <c r="O49" i="1"/>
  <c r="M49" i="1"/>
  <c r="K49" i="1"/>
  <c r="I49" i="1"/>
  <c r="G49" i="1"/>
  <c r="AM48" i="1"/>
  <c r="AL48" i="1"/>
  <c r="AK48" i="1"/>
  <c r="AJ48" i="1"/>
  <c r="AI48" i="1"/>
  <c r="AF48" i="1"/>
  <c r="AB48" i="1"/>
  <c r="S48" i="1"/>
  <c r="Q48" i="1"/>
  <c r="G48" i="1"/>
  <c r="F48" i="1"/>
  <c r="M48" i="1" s="1"/>
  <c r="AF47" i="1"/>
  <c r="AK47" i="1" s="1"/>
  <c r="AB47" i="1"/>
  <c r="F47" i="1" s="1"/>
  <c r="G47" i="1"/>
  <c r="AM46" i="1"/>
  <c r="AJ46" i="1"/>
  <c r="AI46" i="1"/>
  <c r="AH46" i="1"/>
  <c r="AF46" i="1"/>
  <c r="G46" i="1"/>
  <c r="AF45" i="1"/>
  <c r="AK45" i="1" s="1"/>
  <c r="G45" i="1"/>
  <c r="AL44" i="1"/>
  <c r="AF44" i="1"/>
  <c r="AK44" i="1" s="1"/>
  <c r="AB44" i="1"/>
  <c r="F44" i="1" s="1"/>
  <c r="G44" i="1"/>
  <c r="AJ43" i="1"/>
  <c r="AI43" i="1"/>
  <c r="AH43" i="1"/>
  <c r="AF43" i="1"/>
  <c r="AM43" i="1" s="1"/>
  <c r="AB43" i="1"/>
  <c r="S43" i="1"/>
  <c r="G43" i="1"/>
  <c r="F43" i="1"/>
  <c r="I43" i="1" s="1"/>
  <c r="AM42" i="1"/>
  <c r="AF42" i="1"/>
  <c r="AK42" i="1" s="1"/>
  <c r="Z42" i="1"/>
  <c r="V42" i="1"/>
  <c r="U42" i="1"/>
  <c r="S42" i="1"/>
  <c r="Q42" i="1"/>
  <c r="O42" i="1"/>
  <c r="M42" i="1"/>
  <c r="K42" i="1"/>
  <c r="I42" i="1"/>
  <c r="G42" i="1"/>
  <c r="F42" i="1"/>
  <c r="AM41" i="1"/>
  <c r="AL41" i="1"/>
  <c r="AG41" i="1"/>
  <c r="AF41" i="1"/>
  <c r="AJ41" i="1" s="1"/>
  <c r="U41" i="1"/>
  <c r="G41" i="1"/>
  <c r="F41" i="1"/>
  <c r="Z41" i="1" s="1"/>
  <c r="AF40" i="1"/>
  <c r="AL39" i="1"/>
  <c r="AK39" i="1"/>
  <c r="AI39" i="1"/>
  <c r="AH39" i="1"/>
  <c r="AF39" i="1"/>
  <c r="AJ39" i="1" s="1"/>
  <c r="AD39" i="1"/>
  <c r="AB106" i="1" s="1"/>
  <c r="F106" i="1" s="1"/>
  <c r="G39" i="1"/>
  <c r="F39" i="1"/>
  <c r="Q39" i="1" s="1"/>
  <c r="AL38" i="1"/>
  <c r="AI38" i="1"/>
  <c r="AH38" i="1"/>
  <c r="AG38" i="1"/>
  <c r="AF38" i="1"/>
  <c r="AK38" i="1" s="1"/>
  <c r="Z38" i="1"/>
  <c r="U38" i="1"/>
  <c r="S38" i="1"/>
  <c r="Q38" i="1"/>
  <c r="O38" i="1"/>
  <c r="M38" i="1"/>
  <c r="K38" i="1"/>
  <c r="I38" i="1"/>
  <c r="G38" i="1"/>
  <c r="AM38" i="1" s="1"/>
  <c r="AM37" i="1"/>
  <c r="AK37" i="1"/>
  <c r="AG37" i="1"/>
  <c r="AF37" i="1"/>
  <c r="AL37" i="1" s="1"/>
  <c r="Z37" i="1"/>
  <c r="V37" i="1"/>
  <c r="U37" i="1"/>
  <c r="S37" i="1"/>
  <c r="Q37" i="1"/>
  <c r="O37" i="1"/>
  <c r="M37" i="1"/>
  <c r="K37" i="1"/>
  <c r="I37" i="1"/>
  <c r="G37" i="1"/>
  <c r="AL36" i="1"/>
  <c r="AK36" i="1"/>
  <c r="AJ36" i="1"/>
  <c r="AG36" i="1"/>
  <c r="AF36" i="1"/>
  <c r="Z36" i="1"/>
  <c r="U36" i="1"/>
  <c r="S36" i="1"/>
  <c r="Q36" i="1"/>
  <c r="O36" i="1"/>
  <c r="M36" i="1"/>
  <c r="K36" i="1"/>
  <c r="I36" i="1"/>
  <c r="G36" i="1"/>
  <c r="V36" i="1" s="1"/>
  <c r="AK35" i="1"/>
  <c r="AF35" i="1"/>
  <c r="Z35" i="1"/>
  <c r="V35" i="1"/>
  <c r="U35" i="1"/>
  <c r="S35" i="1"/>
  <c r="Q35" i="1"/>
  <c r="O35" i="1"/>
  <c r="M35" i="1"/>
  <c r="K35" i="1"/>
  <c r="I35" i="1"/>
  <c r="G35" i="1"/>
  <c r="AM34" i="1"/>
  <c r="AL34" i="1"/>
  <c r="AK34" i="1"/>
  <c r="AJ34" i="1"/>
  <c r="AI34" i="1"/>
  <c r="AH34" i="1"/>
  <c r="AF34" i="1"/>
  <c r="Z34" i="1"/>
  <c r="V34" i="1"/>
  <c r="U34" i="1"/>
  <c r="S34" i="1"/>
  <c r="Q34" i="1"/>
  <c r="O34" i="1"/>
  <c r="M34" i="1"/>
  <c r="K34" i="1"/>
  <c r="I34" i="1"/>
  <c r="G34" i="1"/>
  <c r="AF33" i="1"/>
  <c r="AJ33" i="1" s="1"/>
  <c r="Z33" i="1"/>
  <c r="U33" i="1"/>
  <c r="S33" i="1"/>
  <c r="Q33" i="1"/>
  <c r="O33" i="1"/>
  <c r="M33" i="1"/>
  <c r="K33" i="1"/>
  <c r="I33" i="1"/>
  <c r="G33" i="1"/>
  <c r="V33" i="1" s="1"/>
  <c r="AL32" i="1"/>
  <c r="AK32" i="1"/>
  <c r="AJ32" i="1"/>
  <c r="AI32" i="1"/>
  <c r="AH32" i="1"/>
  <c r="AG32" i="1"/>
  <c r="AF32" i="1"/>
  <c r="Z32" i="1"/>
  <c r="U32" i="1"/>
  <c r="S32" i="1"/>
  <c r="Q32" i="1"/>
  <c r="O32" i="1"/>
  <c r="M32" i="1"/>
  <c r="K32" i="1"/>
  <c r="I32" i="1"/>
  <c r="G32" i="1"/>
  <c r="AM32" i="1" s="1"/>
  <c r="AJ31" i="1"/>
  <c r="AI31" i="1"/>
  <c r="AF31" i="1"/>
  <c r="Z31" i="1"/>
  <c r="U31" i="1"/>
  <c r="S31" i="1"/>
  <c r="Q31" i="1"/>
  <c r="O31" i="1"/>
  <c r="M31" i="1"/>
  <c r="K31" i="1"/>
  <c r="I31" i="1"/>
  <c r="G31" i="1"/>
  <c r="AM31" i="1" s="1"/>
  <c r="AL30" i="1"/>
  <c r="AK30" i="1"/>
  <c r="AJ30" i="1"/>
  <c r="AI30" i="1"/>
  <c r="AH30" i="1"/>
  <c r="AG30" i="1"/>
  <c r="AF30" i="1"/>
  <c r="Z30" i="1"/>
  <c r="U30" i="1"/>
  <c r="S30" i="1"/>
  <c r="Q30" i="1"/>
  <c r="O30" i="1"/>
  <c r="M30" i="1"/>
  <c r="K30" i="1"/>
  <c r="I30" i="1"/>
  <c r="G30" i="1"/>
  <c r="AM30" i="1" s="1"/>
  <c r="AM29" i="1"/>
  <c r="AF29" i="1"/>
  <c r="AH29" i="1" s="1"/>
  <c r="Z29" i="1"/>
  <c r="V29" i="1"/>
  <c r="U29" i="1"/>
  <c r="S29" i="1"/>
  <c r="Q29" i="1"/>
  <c r="O29" i="1"/>
  <c r="M29" i="1"/>
  <c r="K29" i="1"/>
  <c r="I29" i="1"/>
  <c r="G29" i="1"/>
  <c r="AL28" i="1"/>
  <c r="AK28" i="1"/>
  <c r="AJ28" i="1"/>
  <c r="AI28" i="1"/>
  <c r="AH28" i="1"/>
  <c r="AG28" i="1"/>
  <c r="AF28" i="1"/>
  <c r="Z28" i="1"/>
  <c r="V28" i="1"/>
  <c r="U28" i="1"/>
  <c r="S28" i="1"/>
  <c r="Q28" i="1"/>
  <c r="O28" i="1"/>
  <c r="M28" i="1"/>
  <c r="K28" i="1"/>
  <c r="I28" i="1"/>
  <c r="G28" i="1"/>
  <c r="AM28" i="1" s="1"/>
  <c r="AF27" i="1"/>
  <c r="AM27" i="1" s="1"/>
  <c r="Z27" i="1"/>
  <c r="U27" i="1"/>
  <c r="S27" i="1"/>
  <c r="Q27" i="1"/>
  <c r="O27" i="1"/>
  <c r="M27" i="1"/>
  <c r="K27" i="1"/>
  <c r="I27" i="1"/>
  <c r="G27" i="1"/>
  <c r="V27" i="1" s="1"/>
  <c r="AL26" i="1"/>
  <c r="AK26" i="1"/>
  <c r="AJ26" i="1"/>
  <c r="AI26" i="1"/>
  <c r="AH26" i="1"/>
  <c r="AG26" i="1"/>
  <c r="AF26" i="1"/>
  <c r="Z26" i="1"/>
  <c r="U26" i="1"/>
  <c r="S26" i="1"/>
  <c r="Q26" i="1"/>
  <c r="O26" i="1"/>
  <c r="M26" i="1"/>
  <c r="K26" i="1"/>
  <c r="I26" i="1"/>
  <c r="G26" i="1"/>
  <c r="AM26" i="1" s="1"/>
  <c r="AJ25" i="1"/>
  <c r="AI25" i="1"/>
  <c r="AF25" i="1"/>
  <c r="Z25" i="1"/>
  <c r="U25" i="1"/>
  <c r="S25" i="1"/>
  <c r="Q25" i="1"/>
  <c r="O25" i="1"/>
  <c r="M25" i="1"/>
  <c r="K25" i="1"/>
  <c r="I25" i="1"/>
  <c r="G25" i="1"/>
  <c r="AM25" i="1" s="1"/>
  <c r="AL24" i="1"/>
  <c r="AK24" i="1"/>
  <c r="AJ24" i="1"/>
  <c r="AI24" i="1"/>
  <c r="AH24" i="1"/>
  <c r="AG24" i="1"/>
  <c r="AF24" i="1"/>
  <c r="Z24" i="1"/>
  <c r="U24" i="1"/>
  <c r="S24" i="1"/>
  <c r="Q24" i="1"/>
  <c r="O24" i="1"/>
  <c r="M24" i="1"/>
  <c r="K24" i="1"/>
  <c r="I24" i="1"/>
  <c r="G24" i="1"/>
  <c r="AM24" i="1" s="1"/>
  <c r="AM23" i="1"/>
  <c r="AF23" i="1"/>
  <c r="AI23" i="1" s="1"/>
  <c r="Z23" i="1"/>
  <c r="V23" i="1"/>
  <c r="U23" i="1"/>
  <c r="S23" i="1"/>
  <c r="Q23" i="1"/>
  <c r="O23" i="1"/>
  <c r="M23" i="1"/>
  <c r="K23" i="1"/>
  <c r="I23" i="1"/>
  <c r="G23" i="1"/>
  <c r="AL22" i="1"/>
  <c r="AK22" i="1"/>
  <c r="AJ22" i="1"/>
  <c r="AI22" i="1"/>
  <c r="AH22" i="1"/>
  <c r="AG22" i="1"/>
  <c r="AF22" i="1"/>
  <c r="Z22" i="1"/>
  <c r="V22" i="1"/>
  <c r="U22" i="1"/>
  <c r="S22" i="1"/>
  <c r="Q22" i="1"/>
  <c r="O22" i="1"/>
  <c r="M22" i="1"/>
  <c r="K22" i="1"/>
  <c r="I22" i="1"/>
  <c r="G22" i="1"/>
  <c r="AM22" i="1" s="1"/>
  <c r="AF21" i="1"/>
  <c r="AI21" i="1" s="1"/>
  <c r="Z21" i="1"/>
  <c r="U21" i="1"/>
  <c r="S21" i="1"/>
  <c r="Q21" i="1"/>
  <c r="O21" i="1"/>
  <c r="M21" i="1"/>
  <c r="K21" i="1"/>
  <c r="I21" i="1"/>
  <c r="G21" i="1"/>
  <c r="V21" i="1" s="1"/>
  <c r="AL20" i="1"/>
  <c r="AK20" i="1"/>
  <c r="AJ20" i="1"/>
  <c r="AI20" i="1"/>
  <c r="AH20" i="1"/>
  <c r="AG20" i="1"/>
  <c r="AF20" i="1"/>
  <c r="Z20" i="1"/>
  <c r="U20" i="1"/>
  <c r="S20" i="1"/>
  <c r="Q20" i="1"/>
  <c r="O20" i="1"/>
  <c r="M20" i="1"/>
  <c r="K20" i="1"/>
  <c r="I20" i="1"/>
  <c r="G20" i="1"/>
  <c r="AM20" i="1" s="1"/>
  <c r="AJ19" i="1"/>
  <c r="AI19" i="1"/>
  <c r="AF19" i="1"/>
  <c r="Z19" i="1"/>
  <c r="U19" i="1"/>
  <c r="S19" i="1"/>
  <c r="Q19" i="1"/>
  <c r="O19" i="1"/>
  <c r="M19" i="1"/>
  <c r="K19" i="1"/>
  <c r="I19" i="1"/>
  <c r="G19" i="1"/>
  <c r="AM19" i="1" s="1"/>
  <c r="AL18" i="1"/>
  <c r="AK18" i="1"/>
  <c r="AJ18" i="1"/>
  <c r="AI18" i="1"/>
  <c r="AH18" i="1"/>
  <c r="AG18" i="1"/>
  <c r="AF18" i="1"/>
  <c r="Z18" i="1"/>
  <c r="U18" i="1"/>
  <c r="S18" i="1"/>
  <c r="Q18" i="1"/>
  <c r="O18" i="1"/>
  <c r="M18" i="1"/>
  <c r="K18" i="1"/>
  <c r="I18" i="1"/>
  <c r="G18" i="1"/>
  <c r="AM18" i="1" s="1"/>
  <c r="AM17" i="1"/>
  <c r="AF17" i="1"/>
  <c r="Z17" i="1"/>
  <c r="V17" i="1"/>
  <c r="U17" i="1"/>
  <c r="S17" i="1"/>
  <c r="Q17" i="1"/>
  <c r="O17" i="1"/>
  <c r="M17" i="1"/>
  <c r="K17" i="1"/>
  <c r="I17" i="1"/>
  <c r="G17" i="1"/>
  <c r="AJ16" i="1"/>
  <c r="AI16" i="1"/>
  <c r="AH16" i="1"/>
  <c r="AF16" i="1"/>
  <c r="Z16" i="1"/>
  <c r="U16" i="1"/>
  <c r="S16" i="1"/>
  <c r="Q16" i="1"/>
  <c r="O16" i="1"/>
  <c r="M16" i="1"/>
  <c r="K16" i="1"/>
  <c r="I16" i="1"/>
  <c r="G16" i="1"/>
  <c r="V16" i="1" s="1"/>
  <c r="AM15" i="1"/>
  <c r="AL15" i="1"/>
  <c r="AI15" i="1"/>
  <c r="AH15" i="1"/>
  <c r="AG15" i="1"/>
  <c r="AF15" i="1"/>
  <c r="AK15" i="1" s="1"/>
  <c r="Z15" i="1"/>
  <c r="V15" i="1"/>
  <c r="U15" i="1"/>
  <c r="S15" i="1"/>
  <c r="Q15" i="1"/>
  <c r="O15" i="1"/>
  <c r="M15" i="1"/>
  <c r="K15" i="1"/>
  <c r="I15" i="1"/>
  <c r="G15" i="1"/>
  <c r="AK14" i="1"/>
  <c r="AJ14" i="1"/>
  <c r="AF14" i="1"/>
  <c r="AL14" i="1" s="1"/>
  <c r="Z14" i="1"/>
  <c r="U14" i="1"/>
  <c r="S14" i="1"/>
  <c r="Q14" i="1"/>
  <c r="O14" i="1"/>
  <c r="M14" i="1"/>
  <c r="K14" i="1"/>
  <c r="I14" i="1"/>
  <c r="G14" i="1"/>
  <c r="V14" i="1" s="1"/>
  <c r="AL13" i="1"/>
  <c r="AI13" i="1"/>
  <c r="AH13" i="1"/>
  <c r="AG13" i="1"/>
  <c r="AF13" i="1"/>
  <c r="AK13" i="1" s="1"/>
  <c r="Z13" i="1"/>
  <c r="U13" i="1"/>
  <c r="S13" i="1"/>
  <c r="Q13" i="1"/>
  <c r="O13" i="1"/>
  <c r="M13" i="1"/>
  <c r="K13" i="1"/>
  <c r="I13" i="1"/>
  <c r="G13" i="1"/>
  <c r="AM13" i="1" s="1"/>
  <c r="AM12" i="1"/>
  <c r="AK12" i="1"/>
  <c r="AI12" i="1"/>
  <c r="AH12" i="1"/>
  <c r="AG12" i="1"/>
  <c r="AF12" i="1"/>
  <c r="AL12" i="1" s="1"/>
  <c r="Z12" i="1"/>
  <c r="U12" i="1"/>
  <c r="S12" i="1"/>
  <c r="Q12" i="1"/>
  <c r="O12" i="1"/>
  <c r="M12" i="1"/>
  <c r="K12" i="1"/>
  <c r="I12" i="1"/>
  <c r="G12" i="1"/>
  <c r="V12" i="1" s="1"/>
  <c r="AM11" i="1"/>
  <c r="AL11" i="1"/>
  <c r="AF11" i="1"/>
  <c r="AH11" i="1" s="1"/>
  <c r="Z11" i="1"/>
  <c r="V11" i="1"/>
  <c r="U11" i="1"/>
  <c r="S11" i="1"/>
  <c r="Q11" i="1"/>
  <c r="O11" i="1"/>
  <c r="M11" i="1"/>
  <c r="K11" i="1"/>
  <c r="I11" i="1"/>
  <c r="G11" i="1"/>
  <c r="AK10" i="1"/>
  <c r="AJ10" i="1"/>
  <c r="AF10" i="1"/>
  <c r="AM10" i="1" s="1"/>
  <c r="U10" i="1"/>
  <c r="S10" i="1"/>
  <c r="Q10" i="1"/>
  <c r="O10" i="1"/>
  <c r="M10" i="1"/>
  <c r="K10" i="1"/>
  <c r="I10" i="1"/>
  <c r="G10" i="1"/>
  <c r="F10" i="1"/>
  <c r="AI9" i="1"/>
  <c r="AH9" i="1"/>
  <c r="AG9" i="1"/>
  <c r="AF9" i="1"/>
  <c r="AJ9" i="1" s="1"/>
  <c r="Z9" i="1"/>
  <c r="U9" i="1"/>
  <c r="S9" i="1"/>
  <c r="Q9" i="1"/>
  <c r="O9" i="1"/>
  <c r="M9" i="1"/>
  <c r="K9" i="1"/>
  <c r="I9" i="1"/>
  <c r="G9" i="1"/>
  <c r="V9" i="1" s="1"/>
  <c r="AM8" i="1"/>
  <c r="AL8" i="1"/>
  <c r="AK8" i="1"/>
  <c r="AJ8" i="1"/>
  <c r="AI8" i="1"/>
  <c r="AH8" i="1"/>
  <c r="AG8" i="1"/>
  <c r="AF8" i="1"/>
  <c r="Z8" i="1"/>
  <c r="U8" i="1"/>
  <c r="S8" i="1"/>
  <c r="Q8" i="1"/>
  <c r="O8" i="1"/>
  <c r="M8" i="1"/>
  <c r="K8" i="1"/>
  <c r="I8" i="1"/>
  <c r="G8" i="1"/>
  <c r="V8" i="1" s="1"/>
  <c r="AM7" i="1"/>
  <c r="AF7" i="1"/>
  <c r="AH7" i="1" s="1"/>
  <c r="Z7" i="1"/>
  <c r="V7" i="1"/>
  <c r="U7" i="1"/>
  <c r="S7" i="1"/>
  <c r="Q7" i="1"/>
  <c r="O7" i="1"/>
  <c r="M7" i="1"/>
  <c r="K7" i="1"/>
  <c r="I7" i="1"/>
  <c r="G7" i="1"/>
  <c r="AM6" i="1"/>
  <c r="AL6" i="1"/>
  <c r="AK6" i="1"/>
  <c r="AJ6" i="1"/>
  <c r="AI6" i="1"/>
  <c r="AH6" i="1"/>
  <c r="AG6" i="1"/>
  <c r="AF6" i="1"/>
  <c r="Z6" i="1"/>
  <c r="U6" i="1"/>
  <c r="S6" i="1"/>
  <c r="Q6" i="1"/>
  <c r="O6" i="1"/>
  <c r="M6" i="1"/>
  <c r="K6" i="1"/>
  <c r="I6" i="1"/>
  <c r="G6" i="1"/>
  <c r="V6" i="1" s="1"/>
  <c r="AM5" i="1"/>
  <c r="AJ5" i="1"/>
  <c r="AI5" i="1"/>
  <c r="AG5" i="1"/>
  <c r="AF5" i="1"/>
  <c r="Z5" i="1"/>
  <c r="V5" i="1"/>
  <c r="U5" i="1"/>
  <c r="S5" i="1"/>
  <c r="Q5" i="1"/>
  <c r="O5" i="1"/>
  <c r="M5" i="1"/>
  <c r="K5" i="1"/>
  <c r="I5" i="1"/>
  <c r="G5" i="1"/>
  <c r="AM4" i="1"/>
  <c r="AL4" i="1"/>
  <c r="AK4" i="1"/>
  <c r="AJ4" i="1"/>
  <c r="AI4" i="1"/>
  <c r="AH4" i="1"/>
  <c r="AG4" i="1"/>
  <c r="AF4" i="1"/>
  <c r="Z4" i="1"/>
  <c r="V4" i="1"/>
  <c r="U4" i="1"/>
  <c r="S4" i="1"/>
  <c r="Q4" i="1"/>
  <c r="O4" i="1"/>
  <c r="M4" i="1"/>
  <c r="K4" i="1"/>
  <c r="I4" i="1"/>
  <c r="G4" i="1"/>
  <c r="AM3" i="1"/>
  <c r="AJ3" i="1"/>
  <c r="AI3" i="1"/>
  <c r="AH3" i="1"/>
  <c r="AG3" i="1"/>
  <c r="AF3" i="1"/>
  <c r="Z3" i="1"/>
  <c r="U3" i="1"/>
  <c r="S3" i="1"/>
  <c r="Q3" i="1"/>
  <c r="K3" i="1"/>
  <c r="F3" i="1"/>
  <c r="V3" i="1" s="1"/>
  <c r="T1" i="1"/>
  <c r="R1" i="1"/>
  <c r="P1" i="1"/>
  <c r="N1" i="1"/>
  <c r="L1" i="1"/>
  <c r="J1" i="1"/>
  <c r="I106" i="1" l="1"/>
  <c r="K106" i="1"/>
  <c r="Z106" i="1"/>
  <c r="V106" i="1"/>
  <c r="U106" i="1"/>
  <c r="S106" i="1"/>
  <c r="M106" i="1"/>
  <c r="Q106" i="1"/>
  <c r="O106" i="1"/>
  <c r="Z44" i="1"/>
  <c r="V44" i="1"/>
  <c r="O44" i="1"/>
  <c r="U44" i="1"/>
  <c r="K44" i="1"/>
  <c r="S44" i="1"/>
  <c r="Q44" i="1"/>
  <c r="M44" i="1"/>
  <c r="I44" i="1"/>
  <c r="Z47" i="1"/>
  <c r="V47" i="1"/>
  <c r="O47" i="1"/>
  <c r="M47" i="1"/>
  <c r="U47" i="1"/>
  <c r="K47" i="1"/>
  <c r="S47" i="1"/>
  <c r="Q47" i="1"/>
  <c r="I47" i="1"/>
  <c r="Z52" i="1"/>
  <c r="O52" i="1"/>
  <c r="U52" i="1"/>
  <c r="S52" i="1"/>
  <c r="K52" i="1"/>
  <c r="Q52" i="1"/>
  <c r="M52" i="1"/>
  <c r="I52" i="1"/>
  <c r="I208" i="1"/>
  <c r="Z208" i="1"/>
  <c r="V208" i="1"/>
  <c r="U208" i="1"/>
  <c r="Q208" i="1"/>
  <c r="M208" i="1"/>
  <c r="K208" i="1"/>
  <c r="S208" i="1"/>
  <c r="O208" i="1"/>
  <c r="AH40" i="1"/>
  <c r="AG40" i="1"/>
  <c r="AI102" i="1"/>
  <c r="AH102" i="1"/>
  <c r="AK296" i="1"/>
  <c r="AJ296" i="1"/>
  <c r="AI296" i="1"/>
  <c r="AG296" i="1"/>
  <c r="AM296" i="1"/>
  <c r="AH296" i="1"/>
  <c r="AH50" i="1"/>
  <c r="AG50" i="1"/>
  <c r="AL79" i="1"/>
  <c r="AK79" i="1"/>
  <c r="AJ79" i="1"/>
  <c r="AI79" i="1"/>
  <c r="AH79" i="1"/>
  <c r="Z96" i="1"/>
  <c r="V96" i="1"/>
  <c r="O96" i="1"/>
  <c r="M96" i="1"/>
  <c r="K96" i="1"/>
  <c r="AK119" i="1"/>
  <c r="AJ119" i="1"/>
  <c r="AL119" i="1"/>
  <c r="AI119" i="1"/>
  <c r="AH119" i="1"/>
  <c r="Z126" i="1"/>
  <c r="U126" i="1"/>
  <c r="S126" i="1"/>
  <c r="M126" i="1"/>
  <c r="K126" i="1"/>
  <c r="I126" i="1"/>
  <c r="V141" i="1"/>
  <c r="AM141" i="1"/>
  <c r="AK190" i="1"/>
  <c r="AJ190" i="1"/>
  <c r="AG190" i="1"/>
  <c r="AL190" i="1"/>
  <c r="AI190" i="1"/>
  <c r="AH190" i="1"/>
  <c r="AL296" i="1"/>
  <c r="AJ499" i="1"/>
  <c r="AI499" i="1"/>
  <c r="AH499" i="1"/>
  <c r="AM499" i="1"/>
  <c r="AL499" i="1"/>
  <c r="AK499" i="1"/>
  <c r="AG499" i="1"/>
  <c r="AG7" i="1"/>
  <c r="V31" i="1"/>
  <c r="AJ40" i="1"/>
  <c r="AH47" i="1"/>
  <c r="AI50" i="1"/>
  <c r="AJ53" i="1"/>
  <c r="I61" i="1"/>
  <c r="I63" i="1"/>
  <c r="AM70" i="1"/>
  <c r="AH72" i="1"/>
  <c r="AG79" i="1"/>
  <c r="S95" i="1"/>
  <c r="Q95" i="1"/>
  <c r="I95" i="1"/>
  <c r="Z95" i="1"/>
  <c r="V95" i="1"/>
  <c r="M97" i="1"/>
  <c r="K97" i="1"/>
  <c r="Q97" i="1"/>
  <c r="O97" i="1"/>
  <c r="AK160" i="1"/>
  <c r="AL160" i="1"/>
  <c r="AJ160" i="1"/>
  <c r="AI160" i="1"/>
  <c r="K166" i="1"/>
  <c r="V166" i="1"/>
  <c r="S166" i="1"/>
  <c r="Q166" i="1"/>
  <c r="O166" i="1"/>
  <c r="AM190" i="1"/>
  <c r="Z195" i="1"/>
  <c r="O195" i="1"/>
  <c r="I195" i="1"/>
  <c r="V195" i="1"/>
  <c r="U195" i="1"/>
  <c r="Q195" i="1"/>
  <c r="M195" i="1"/>
  <c r="K195" i="1"/>
  <c r="AL207" i="1"/>
  <c r="AK207" i="1"/>
  <c r="AI207" i="1"/>
  <c r="AG207" i="1"/>
  <c r="AM207" i="1"/>
  <c r="AJ207" i="1"/>
  <c r="Z212" i="1"/>
  <c r="Q212" i="1"/>
  <c r="O212" i="1"/>
  <c r="U212" i="1"/>
  <c r="M212" i="1"/>
  <c r="V212" i="1"/>
  <c r="K212" i="1"/>
  <c r="I212" i="1"/>
  <c r="V477" i="1"/>
  <c r="I477" i="1"/>
  <c r="O477" i="1"/>
  <c r="M477" i="1"/>
  <c r="K477" i="1"/>
  <c r="U477" i="1"/>
  <c r="S477" i="1"/>
  <c r="Q477" i="1"/>
  <c r="S553" i="1"/>
  <c r="I553" i="1"/>
  <c r="V553" i="1"/>
  <c r="U553" i="1"/>
  <c r="Q553" i="1"/>
  <c r="O553" i="1"/>
  <c r="M553" i="1"/>
  <c r="K553" i="1"/>
  <c r="AL5" i="1"/>
  <c r="AK5" i="1"/>
  <c r="AG10" i="1"/>
  <c r="AJ12" i="1"/>
  <c r="V13" i="1"/>
  <c r="AJ21" i="1"/>
  <c r="AJ27" i="1"/>
  <c r="K39" i="1"/>
  <c r="AM39" i="1"/>
  <c r="AK40" i="1"/>
  <c r="AH44" i="1"/>
  <c r="AI47" i="1"/>
  <c r="Z48" i="1"/>
  <c r="AJ50" i="1"/>
  <c r="Z51" i="1"/>
  <c r="S56" i="1"/>
  <c r="Q57" i="1"/>
  <c r="Q58" i="1"/>
  <c r="Q60" i="1"/>
  <c r="S62" i="1"/>
  <c r="I64" i="1"/>
  <c r="O64" i="1"/>
  <c r="M64" i="1"/>
  <c r="Z64" i="1"/>
  <c r="AM64" i="1"/>
  <c r="AH67" i="1"/>
  <c r="AG67" i="1"/>
  <c r="O71" i="1"/>
  <c r="K71" i="1"/>
  <c r="I71" i="1"/>
  <c r="Z71" i="1"/>
  <c r="V71" i="1"/>
  <c r="AI72" i="1"/>
  <c r="V74" i="1"/>
  <c r="AM79" i="1"/>
  <c r="I96" i="1"/>
  <c r="K103" i="1"/>
  <c r="I104" i="1"/>
  <c r="S109" i="1"/>
  <c r="Q109" i="1"/>
  <c r="O109" i="1"/>
  <c r="M109" i="1"/>
  <c r="K109" i="1"/>
  <c r="AM119" i="1"/>
  <c r="AM121" i="1"/>
  <c r="AJ123" i="1"/>
  <c r="AI123" i="1"/>
  <c r="AM123" i="1"/>
  <c r="AL123" i="1"/>
  <c r="AK123" i="1"/>
  <c r="O126" i="1"/>
  <c r="M127" i="1"/>
  <c r="I127" i="1"/>
  <c r="Z127" i="1"/>
  <c r="K127" i="1"/>
  <c r="V127" i="1"/>
  <c r="U127" i="1"/>
  <c r="AM149" i="1"/>
  <c r="V149" i="1"/>
  <c r="AG160" i="1"/>
  <c r="AM167" i="1"/>
  <c r="AK167" i="1"/>
  <c r="AJ167" i="1"/>
  <c r="AG167" i="1"/>
  <c r="AL167" i="1"/>
  <c r="AI167" i="1"/>
  <c r="S170" i="1"/>
  <c r="O170" i="1"/>
  <c r="M170" i="1"/>
  <c r="Q170" i="1"/>
  <c r="K170" i="1"/>
  <c r="I170" i="1"/>
  <c r="AK195" i="1"/>
  <c r="AI195" i="1"/>
  <c r="AG195" i="1"/>
  <c r="AM195" i="1"/>
  <c r="AJ195" i="1"/>
  <c r="AH195" i="1"/>
  <c r="AL195" i="1"/>
  <c r="AK201" i="1"/>
  <c r="AG201" i="1"/>
  <c r="AM201" i="1"/>
  <c r="AL201" i="1"/>
  <c r="AJ201" i="1"/>
  <c r="AH207" i="1"/>
  <c r="Q209" i="1"/>
  <c r="I209" i="1"/>
  <c r="S209" i="1"/>
  <c r="M209" i="1"/>
  <c r="K209" i="1"/>
  <c r="Z209" i="1"/>
  <c r="V209" i="1"/>
  <c r="U209" i="1"/>
  <c r="AL212" i="1"/>
  <c r="AK212" i="1"/>
  <c r="AJ212" i="1"/>
  <c r="AI212" i="1"/>
  <c r="AM212" i="1"/>
  <c r="AH212" i="1"/>
  <c r="AG212" i="1"/>
  <c r="S289" i="1"/>
  <c r="Q289" i="1"/>
  <c r="O289" i="1"/>
  <c r="U289" i="1"/>
  <c r="K289" i="1"/>
  <c r="V289" i="1"/>
  <c r="M289" i="1"/>
  <c r="V385" i="1"/>
  <c r="M385" i="1"/>
  <c r="K385" i="1"/>
  <c r="I385" i="1"/>
  <c r="U385" i="1"/>
  <c r="S385" i="1"/>
  <c r="Q385" i="1"/>
  <c r="Z385" i="1"/>
  <c r="O385" i="1"/>
  <c r="I419" i="1"/>
  <c r="V419" i="1"/>
  <c r="Q419" i="1"/>
  <c r="O419" i="1"/>
  <c r="M419" i="1"/>
  <c r="U419" i="1"/>
  <c r="S419" i="1"/>
  <c r="K419" i="1"/>
  <c r="U475" i="1"/>
  <c r="M475" i="1"/>
  <c r="K475" i="1"/>
  <c r="Q475" i="1"/>
  <c r="O475" i="1"/>
  <c r="I475" i="1"/>
  <c r="V475" i="1"/>
  <c r="S475" i="1"/>
  <c r="AL33" i="1"/>
  <c r="AK33" i="1"/>
  <c r="AG33" i="1"/>
  <c r="AH53" i="1"/>
  <c r="AG53" i="1"/>
  <c r="AM58" i="1"/>
  <c r="Z61" i="1"/>
  <c r="Q61" i="1"/>
  <c r="O61" i="1"/>
  <c r="M61" i="1"/>
  <c r="Z63" i="1"/>
  <c r="Q63" i="1"/>
  <c r="O63" i="1"/>
  <c r="M63" i="1"/>
  <c r="AH179" i="1"/>
  <c r="AG179" i="1"/>
  <c r="AM179" i="1"/>
  <c r="AL179" i="1"/>
  <c r="AK179" i="1"/>
  <c r="AL7" i="1"/>
  <c r="AK7" i="1"/>
  <c r="V54" i="1"/>
  <c r="K59" i="1"/>
  <c r="Z59" i="1"/>
  <c r="Q59" i="1"/>
  <c r="O59" i="1"/>
  <c r="M59" i="1"/>
  <c r="V67" i="1"/>
  <c r="AG72" i="1"/>
  <c r="S100" i="1"/>
  <c r="Q100" i="1"/>
  <c r="M100" i="1"/>
  <c r="K100" i="1"/>
  <c r="AG102" i="1"/>
  <c r="AK122" i="1"/>
  <c r="AJ122" i="1"/>
  <c r="AI122" i="1"/>
  <c r="AM155" i="1"/>
  <c r="V155" i="1"/>
  <c r="S164" i="1"/>
  <c r="O164" i="1"/>
  <c r="M164" i="1"/>
  <c r="Q164" i="1"/>
  <c r="K164" i="1"/>
  <c r="I164" i="1"/>
  <c r="Q250" i="1"/>
  <c r="S250" i="1"/>
  <c r="I250" i="1"/>
  <c r="Z250" i="1"/>
  <c r="U250" i="1"/>
  <c r="V250" i="1"/>
  <c r="K250" i="1"/>
  <c r="O250" i="1"/>
  <c r="M250" i="1"/>
  <c r="AJ328" i="1"/>
  <c r="AI328" i="1"/>
  <c r="AH328" i="1"/>
  <c r="AM328" i="1"/>
  <c r="AL328" i="1"/>
  <c r="AK328" i="1"/>
  <c r="AG328" i="1"/>
  <c r="AI27" i="1"/>
  <c r="AG44" i="1"/>
  <c r="I53" i="1"/>
  <c r="V53" i="1"/>
  <c r="I57" i="1"/>
  <c r="K60" i="1"/>
  <c r="K62" i="1"/>
  <c r="AI7" i="1"/>
  <c r="AM9" i="1"/>
  <c r="AH10" i="1"/>
  <c r="AL19" i="1"/>
  <c r="AK19" i="1"/>
  <c r="AG19" i="1"/>
  <c r="AM21" i="1"/>
  <c r="AL31" i="1"/>
  <c r="AK31" i="1"/>
  <c r="AG31" i="1"/>
  <c r="AM36" i="1"/>
  <c r="V38" i="1"/>
  <c r="AL40" i="1"/>
  <c r="AK50" i="1"/>
  <c r="AL53" i="1"/>
  <c r="S60" i="1"/>
  <c r="U62" i="1"/>
  <c r="S63" i="1"/>
  <c r="Q65" i="1"/>
  <c r="Z65" i="1"/>
  <c r="O65" i="1"/>
  <c r="M65" i="1"/>
  <c r="K65" i="1"/>
  <c r="AK115" i="1"/>
  <c r="AJ115" i="1"/>
  <c r="AL115" i="1"/>
  <c r="AI115" i="1"/>
  <c r="AH115" i="1"/>
  <c r="V120" i="1"/>
  <c r="AM120" i="1"/>
  <c r="AL122" i="1"/>
  <c r="Q126" i="1"/>
  <c r="AL127" i="1"/>
  <c r="AJ127" i="1"/>
  <c r="AI127" i="1"/>
  <c r="I140" i="1"/>
  <c r="AH160" i="1"/>
  <c r="V164" i="1"/>
  <c r="AJ173" i="1"/>
  <c r="AK173" i="1"/>
  <c r="AH173" i="1"/>
  <c r="AG173" i="1"/>
  <c r="AM173" i="1"/>
  <c r="AI182" i="1"/>
  <c r="AK182" i="1"/>
  <c r="AJ182" i="1"/>
  <c r="AM182" i="1"/>
  <c r="AL182" i="1"/>
  <c r="AH182" i="1"/>
  <c r="AL203" i="1"/>
  <c r="AG203" i="1"/>
  <c r="AM203" i="1"/>
  <c r="AI203" i="1"/>
  <c r="AH203" i="1"/>
  <c r="AK203" i="1"/>
  <c r="I213" i="1"/>
  <c r="Z213" i="1"/>
  <c r="V213" i="1"/>
  <c r="M213" i="1"/>
  <c r="Q213" i="1"/>
  <c r="K213" i="1"/>
  <c r="U213" i="1"/>
  <c r="S213" i="1"/>
  <c r="AL250" i="1"/>
  <c r="AI250" i="1"/>
  <c r="AH250" i="1"/>
  <c r="AG250" i="1"/>
  <c r="AM250" i="1"/>
  <c r="AK250" i="1"/>
  <c r="AM271" i="1"/>
  <c r="V271" i="1"/>
  <c r="Q304" i="1"/>
  <c r="O304" i="1"/>
  <c r="M304" i="1"/>
  <c r="Z304" i="1"/>
  <c r="K304" i="1"/>
  <c r="I304" i="1"/>
  <c r="U304" i="1"/>
  <c r="V304" i="1"/>
  <c r="S304" i="1"/>
  <c r="AG353" i="1"/>
  <c r="AL353" i="1"/>
  <c r="AK353" i="1"/>
  <c r="AJ353" i="1"/>
  <c r="AM353" i="1"/>
  <c r="AH353" i="1"/>
  <c r="AG441" i="1"/>
  <c r="AI441" i="1"/>
  <c r="AJ441" i="1"/>
  <c r="AH441" i="1"/>
  <c r="AI450" i="1"/>
  <c r="AK450" i="1"/>
  <c r="AJ450" i="1"/>
  <c r="AM450" i="1"/>
  <c r="AL450" i="1"/>
  <c r="AG450" i="1"/>
  <c r="AH450" i="1"/>
  <c r="AL72" i="1"/>
  <c r="AK72" i="1"/>
  <c r="AJ72" i="1"/>
  <c r="V129" i="1"/>
  <c r="AM129" i="1"/>
  <c r="Z201" i="1"/>
  <c r="O201" i="1"/>
  <c r="U201" i="1"/>
  <c r="Q201" i="1"/>
  <c r="V201" i="1"/>
  <c r="K201" i="1"/>
  <c r="I201" i="1"/>
  <c r="S201" i="1"/>
  <c r="M201" i="1"/>
  <c r="Q206" i="1"/>
  <c r="S206" i="1"/>
  <c r="M206" i="1"/>
  <c r="Z206" i="1"/>
  <c r="V206" i="1"/>
  <c r="K206" i="1"/>
  <c r="I206" i="1"/>
  <c r="U206" i="1"/>
  <c r="O206" i="1"/>
  <c r="Z300" i="1"/>
  <c r="V300" i="1"/>
  <c r="O300" i="1"/>
  <c r="M300" i="1"/>
  <c r="K300" i="1"/>
  <c r="I300" i="1"/>
  <c r="U300" i="1"/>
  <c r="S300" i="1"/>
  <c r="AH21" i="1"/>
  <c r="AH27" i="1"/>
  <c r="AH33" i="1"/>
  <c r="AI40" i="1"/>
  <c r="V41" i="1"/>
  <c r="Q43" i="1"/>
  <c r="O43" i="1"/>
  <c r="AG47" i="1"/>
  <c r="AI53" i="1"/>
  <c r="AJ114" i="1"/>
  <c r="AI114" i="1"/>
  <c r="AH114" i="1"/>
  <c r="AK148" i="1"/>
  <c r="AI148" i="1"/>
  <c r="AH148" i="1"/>
  <c r="AL148" i="1"/>
  <c r="AJ148" i="1"/>
  <c r="AG148" i="1"/>
  <c r="AI175" i="1"/>
  <c r="AM175" i="1"/>
  <c r="AL175" i="1"/>
  <c r="AH175" i="1"/>
  <c r="AG175" i="1"/>
  <c r="AK175" i="1"/>
  <c r="AI179" i="1"/>
  <c r="Z187" i="1"/>
  <c r="O187" i="1"/>
  <c r="Q187" i="1"/>
  <c r="V187" i="1"/>
  <c r="U187" i="1"/>
  <c r="K187" i="1"/>
  <c r="I187" i="1"/>
  <c r="M187" i="1"/>
  <c r="Q203" i="1"/>
  <c r="Z203" i="1"/>
  <c r="U203" i="1"/>
  <c r="O203" i="1"/>
  <c r="K203" i="1"/>
  <c r="I203" i="1"/>
  <c r="V203" i="1"/>
  <c r="S203" i="1"/>
  <c r="M203" i="1"/>
  <c r="AM14" i="1"/>
  <c r="V19" i="1"/>
  <c r="V25" i="1"/>
  <c r="AI33" i="1"/>
  <c r="I39" i="1"/>
  <c r="U48" i="1"/>
  <c r="V51" i="1"/>
  <c r="Z54" i="1"/>
  <c r="AJ108" i="1"/>
  <c r="AI108" i="1"/>
  <c r="AH108" i="1"/>
  <c r="AG114" i="1"/>
  <c r="AG119" i="1"/>
  <c r="AG122" i="1"/>
  <c r="AM133" i="1"/>
  <c r="AM135" i="1"/>
  <c r="AM148" i="1"/>
  <c r="S167" i="1"/>
  <c r="O167" i="1"/>
  <c r="M167" i="1"/>
  <c r="Z167" i="1"/>
  <c r="V167" i="1"/>
  <c r="U167" i="1"/>
  <c r="I205" i="1"/>
  <c r="V205" i="1"/>
  <c r="U205" i="1"/>
  <c r="S205" i="1"/>
  <c r="O205" i="1"/>
  <c r="M205" i="1"/>
  <c r="K205" i="1"/>
  <c r="AM16" i="1"/>
  <c r="AL25" i="1"/>
  <c r="AK25" i="1"/>
  <c r="AG25" i="1"/>
  <c r="AM33" i="1"/>
  <c r="O39" i="1"/>
  <c r="K43" i="1"/>
  <c r="AI44" i="1"/>
  <c r="AJ47" i="1"/>
  <c r="K53" i="1"/>
  <c r="S57" i="1"/>
  <c r="S59" i="1"/>
  <c r="S61" i="1"/>
  <c r="K95" i="1"/>
  <c r="Q96" i="1"/>
  <c r="I97" i="1"/>
  <c r="I99" i="1"/>
  <c r="V99" i="1"/>
  <c r="U99" i="1"/>
  <c r="M99" i="1"/>
  <c r="K99" i="1"/>
  <c r="O100" i="1"/>
  <c r="K104" i="1"/>
  <c r="AL114" i="1"/>
  <c r="AF534" i="1"/>
  <c r="AF595" i="1" s="1"/>
  <c r="AL3" i="1"/>
  <c r="AK3" i="1"/>
  <c r="AH5" i="1"/>
  <c r="AJ7" i="1"/>
  <c r="Z10" i="1"/>
  <c r="V10" i="1"/>
  <c r="AI10" i="1"/>
  <c r="AG16" i="1"/>
  <c r="AH19" i="1"/>
  <c r="V20" i="1"/>
  <c r="AH25" i="1"/>
  <c r="V26" i="1"/>
  <c r="AH31" i="1"/>
  <c r="V32" i="1"/>
  <c r="AJ37" i="1"/>
  <c r="AM40" i="1"/>
  <c r="AK41" i="1"/>
  <c r="M43" i="1"/>
  <c r="AJ44" i="1"/>
  <c r="AB45" i="1"/>
  <c r="F45" i="1" s="1"/>
  <c r="AL47" i="1"/>
  <c r="AH48" i="1"/>
  <c r="AG48" i="1"/>
  <c r="AL50" i="1"/>
  <c r="AL51" i="1"/>
  <c r="AK51" i="1"/>
  <c r="AG51" i="1"/>
  <c r="M53" i="1"/>
  <c r="AM53" i="1"/>
  <c r="AM55" i="1"/>
  <c r="AL55" i="1"/>
  <c r="U59" i="1"/>
  <c r="U61" i="1"/>
  <c r="U63" i="1"/>
  <c r="K64" i="1"/>
  <c r="AK67" i="1"/>
  <c r="M71" i="1"/>
  <c r="M95" i="1"/>
  <c r="S96" i="1"/>
  <c r="S97" i="1"/>
  <c r="U100" i="1"/>
  <c r="AB105" i="1"/>
  <c r="F105" i="1" s="1"/>
  <c r="I109" i="1"/>
  <c r="AM114" i="1"/>
  <c r="AG115" i="1"/>
  <c r="K121" i="1"/>
  <c r="I121" i="1"/>
  <c r="S121" i="1"/>
  <c r="Q121" i="1"/>
  <c r="O121" i="1"/>
  <c r="AM122" i="1"/>
  <c r="AH123" i="1"/>
  <c r="V126" i="1"/>
  <c r="AK127" i="1"/>
  <c r="AK151" i="1"/>
  <c r="AJ151" i="1"/>
  <c r="AI151" i="1"/>
  <c r="AH151" i="1"/>
  <c r="AM160" i="1"/>
  <c r="Z164" i="1"/>
  <c r="U170" i="1"/>
  <c r="AI173" i="1"/>
  <c r="AG182" i="1"/>
  <c r="AI201" i="1"/>
  <c r="AJ203" i="1"/>
  <c r="Z205" i="1"/>
  <c r="AJ250" i="1"/>
  <c r="AJ254" i="1"/>
  <c r="AL254" i="1"/>
  <c r="AK254" i="1"/>
  <c r="AI254" i="1"/>
  <c r="AH254" i="1"/>
  <c r="AM254" i="1"/>
  <c r="AI353" i="1"/>
  <c r="AL27" i="1"/>
  <c r="AK27" i="1"/>
  <c r="AG27" i="1"/>
  <c r="V39" i="1"/>
  <c r="U39" i="1"/>
  <c r="M39" i="1"/>
  <c r="O57" i="1"/>
  <c r="Z57" i="1"/>
  <c r="V57" i="1"/>
  <c r="M57" i="1"/>
  <c r="K57" i="1"/>
  <c r="Q41" i="1"/>
  <c r="O41" i="1"/>
  <c r="AM47" i="1"/>
  <c r="V61" i="1"/>
  <c r="V63" i="1"/>
  <c r="AK105" i="1"/>
  <c r="AJ105" i="1"/>
  <c r="AI105" i="1"/>
  <c r="V124" i="1"/>
  <c r="AM124" i="1"/>
  <c r="AK217" i="1"/>
  <c r="AJ217" i="1"/>
  <c r="AI217" i="1"/>
  <c r="AG217" i="1"/>
  <c r="AM217" i="1"/>
  <c r="AK261" i="1"/>
  <c r="AJ261" i="1"/>
  <c r="AM261" i="1"/>
  <c r="AL261" i="1"/>
  <c r="AI261" i="1"/>
  <c r="V264" i="1"/>
  <c r="AM264" i="1"/>
  <c r="Q270" i="1"/>
  <c r="K270" i="1"/>
  <c r="Z270" i="1"/>
  <c r="S270" i="1"/>
  <c r="O270" i="1"/>
  <c r="U270" i="1"/>
  <c r="M270" i="1"/>
  <c r="I270" i="1"/>
  <c r="V594" i="1"/>
  <c r="U594" i="1"/>
  <c r="O594" i="1"/>
  <c r="M594" i="1"/>
  <c r="K594" i="1"/>
  <c r="Q594" i="1"/>
  <c r="I594" i="1"/>
  <c r="S594" i="1"/>
  <c r="Z39" i="1"/>
  <c r="U43" i="1"/>
  <c r="AM44" i="1"/>
  <c r="AL57" i="1"/>
  <c r="AM57" i="1"/>
  <c r="AK57" i="1"/>
  <c r="Q62" i="1"/>
  <c r="O62" i="1"/>
  <c r="M62" i="1"/>
  <c r="Z100" i="1"/>
  <c r="Q104" i="1"/>
  <c r="O104" i="1"/>
  <c r="V104" i="1"/>
  <c r="U104" i="1"/>
  <c r="S104" i="1"/>
  <c r="AK145" i="1"/>
  <c r="AJ145" i="1"/>
  <c r="AI145" i="1"/>
  <c r="AH145" i="1"/>
  <c r="AH217" i="1"/>
  <c r="V245" i="1"/>
  <c r="O245" i="1"/>
  <c r="M245" i="1"/>
  <c r="Z245" i="1"/>
  <c r="U245" i="1"/>
  <c r="K245" i="1"/>
  <c r="I245" i="1"/>
  <c r="S245" i="1"/>
  <c r="Q332" i="1"/>
  <c r="O332" i="1"/>
  <c r="M332" i="1"/>
  <c r="K332" i="1"/>
  <c r="I332" i="1"/>
  <c r="Z332" i="1"/>
  <c r="V332" i="1"/>
  <c r="U332" i="1"/>
  <c r="S332" i="1"/>
  <c r="I493" i="1"/>
  <c r="M493" i="1"/>
  <c r="K493" i="1"/>
  <c r="V493" i="1"/>
  <c r="U493" i="1"/>
  <c r="Q493" i="1"/>
  <c r="O493" i="1"/>
  <c r="AL10" i="1"/>
  <c r="AL17" i="1"/>
  <c r="AK17" i="1"/>
  <c r="AG17" i="1"/>
  <c r="AM35" i="1"/>
  <c r="AL35" i="1"/>
  <c r="AH35" i="1"/>
  <c r="AB318" i="1"/>
  <c r="F318" i="1" s="1"/>
  <c r="AB319" i="1"/>
  <c r="F319" i="1" s="1"/>
  <c r="AB223" i="1"/>
  <c r="F223" i="1" s="1"/>
  <c r="AB139" i="1"/>
  <c r="F139" i="1" s="1"/>
  <c r="AB107" i="1"/>
  <c r="F107" i="1" s="1"/>
  <c r="AB134" i="1"/>
  <c r="F134" i="1" s="1"/>
  <c r="I41" i="1"/>
  <c r="AI42" i="1"/>
  <c r="V43" i="1"/>
  <c r="AJ45" i="1"/>
  <c r="AG52" i="1"/>
  <c r="S53" i="1"/>
  <c r="I54" i="1"/>
  <c r="Z55" i="1"/>
  <c r="Q55" i="1"/>
  <c r="O55" i="1"/>
  <c r="AG56" i="1"/>
  <c r="AH57" i="1"/>
  <c r="AM60" i="1"/>
  <c r="AK68" i="1"/>
  <c r="AH81" i="1"/>
  <c r="AL104" i="1"/>
  <c r="AK104" i="1"/>
  <c r="AH104" i="1"/>
  <c r="AG104" i="1"/>
  <c r="O113" i="1"/>
  <c r="M113" i="1"/>
  <c r="Z113" i="1"/>
  <c r="Q113" i="1"/>
  <c r="K113" i="1"/>
  <c r="I113" i="1"/>
  <c r="O138" i="1"/>
  <c r="AG152" i="1"/>
  <c r="AL162" i="1"/>
  <c r="AH261" i="1"/>
  <c r="V270" i="1"/>
  <c r="AG292" i="1"/>
  <c r="AJ466" i="1"/>
  <c r="AI466" i="1"/>
  <c r="AH466" i="1"/>
  <c r="AM466" i="1"/>
  <c r="AL466" i="1"/>
  <c r="AK466" i="1"/>
  <c r="AG466" i="1"/>
  <c r="O3" i="1"/>
  <c r="M3" i="1"/>
  <c r="AG11" i="1"/>
  <c r="AG14" i="1"/>
  <c r="AK16" i="1"/>
  <c r="AH17" i="1"/>
  <c r="V18" i="1"/>
  <c r="AH23" i="1"/>
  <c r="V24" i="1"/>
  <c r="V30" i="1"/>
  <c r="AG35" i="1"/>
  <c r="K41" i="1"/>
  <c r="AJ42" i="1"/>
  <c r="Z43" i="1"/>
  <c r="AB46" i="1"/>
  <c r="F46" i="1" s="1"/>
  <c r="F535" i="1" s="1"/>
  <c r="K48" i="1"/>
  <c r="AM49" i="1"/>
  <c r="AI49" i="1"/>
  <c r="I51" i="1"/>
  <c r="AH52" i="1"/>
  <c r="U53" i="1"/>
  <c r="AH56" i="1"/>
  <c r="AI57" i="1"/>
  <c r="AI61" i="1"/>
  <c r="V65" i="1"/>
  <c r="AM69" i="1"/>
  <c r="AI69" i="1"/>
  <c r="AH69" i="1"/>
  <c r="AG89" i="1"/>
  <c r="AM95" i="1"/>
  <c r="AL95" i="1"/>
  <c r="AJ95" i="1"/>
  <c r="AI95" i="1"/>
  <c r="Z99" i="1"/>
  <c r="V101" i="1"/>
  <c r="I103" i="1"/>
  <c r="Q103" i="1"/>
  <c r="O103" i="1"/>
  <c r="AI104" i="1"/>
  <c r="AL105" i="1"/>
  <c r="AM106" i="1"/>
  <c r="U138" i="1"/>
  <c r="AL145" i="1"/>
  <c r="AK146" i="1"/>
  <c r="AI146" i="1"/>
  <c r="AH146" i="1"/>
  <c r="AM146" i="1"/>
  <c r="AL146" i="1"/>
  <c r="Z190" i="1"/>
  <c r="O190" i="1"/>
  <c r="I190" i="1"/>
  <c r="V190" i="1"/>
  <c r="Q190" i="1"/>
  <c r="M190" i="1"/>
  <c r="S190" i="1"/>
  <c r="K190" i="1"/>
  <c r="AJ213" i="1"/>
  <c r="Q245" i="1"/>
  <c r="AJ258" i="1"/>
  <c r="AG258" i="1"/>
  <c r="AM258" i="1"/>
  <c r="AK258" i="1"/>
  <c r="AI258" i="1"/>
  <c r="Q418" i="1"/>
  <c r="O418" i="1"/>
  <c r="M418" i="1"/>
  <c r="V418" i="1"/>
  <c r="U418" i="1"/>
  <c r="K418" i="1"/>
  <c r="S418" i="1"/>
  <c r="I418" i="1"/>
  <c r="AL21" i="1"/>
  <c r="AK21" i="1"/>
  <c r="AG21" i="1"/>
  <c r="AH45" i="1"/>
  <c r="AG45" i="1"/>
  <c r="Q54" i="1"/>
  <c r="O54" i="1"/>
  <c r="AK162" i="1"/>
  <c r="AI162" i="1"/>
  <c r="AH162" i="1"/>
  <c r="AG162" i="1"/>
  <c r="AH185" i="1"/>
  <c r="AL185" i="1"/>
  <c r="AM185" i="1"/>
  <c r="AI185" i="1"/>
  <c r="AG185" i="1"/>
  <c r="AK185" i="1"/>
  <c r="AJ185" i="1"/>
  <c r="AG68" i="1"/>
  <c r="AJ68" i="1"/>
  <c r="AI68" i="1"/>
  <c r="AH68" i="1"/>
  <c r="AI106" i="1"/>
  <c r="Q140" i="1"/>
  <c r="M140" i="1"/>
  <c r="K140" i="1"/>
  <c r="U140" i="1"/>
  <c r="S140" i="1"/>
  <c r="O140" i="1"/>
  <c r="AG261" i="1"/>
  <c r="AL29" i="1"/>
  <c r="AK29" i="1"/>
  <c r="AG29" i="1"/>
  <c r="AJ59" i="1"/>
  <c r="AM59" i="1"/>
  <c r="AL59" i="1"/>
  <c r="AH93" i="1"/>
  <c r="AG93" i="1"/>
  <c r="AM93" i="1"/>
  <c r="Z97" i="1"/>
  <c r="AH105" i="1"/>
  <c r="V132" i="1"/>
  <c r="AM132" i="1"/>
  <c r="AL217" i="1"/>
  <c r="I3" i="1"/>
  <c r="AH14" i="1"/>
  <c r="AI17" i="1"/>
  <c r="AI29" i="1"/>
  <c r="AI35" i="1"/>
  <c r="AG39" i="1"/>
  <c r="M41" i="1"/>
  <c r="AL45" i="1"/>
  <c r="AL46" i="1"/>
  <c r="AK46" i="1"/>
  <c r="AG46" i="1"/>
  <c r="AG49" i="1"/>
  <c r="AI52" i="1"/>
  <c r="Z53" i="1"/>
  <c r="M54" i="1"/>
  <c r="I55" i="1"/>
  <c r="M56" i="1"/>
  <c r="K56" i="1"/>
  <c r="Z56" i="1"/>
  <c r="AJ57" i="1"/>
  <c r="AI59" i="1"/>
  <c r="AM68" i="1"/>
  <c r="AK71" i="1"/>
  <c r="AJ71" i="1"/>
  <c r="AI71" i="1"/>
  <c r="V76" i="1"/>
  <c r="AL85" i="1"/>
  <c r="AK85" i="1"/>
  <c r="AI85" i="1"/>
  <c r="AH85" i="1"/>
  <c r="AJ93" i="1"/>
  <c r="AG95" i="1"/>
  <c r="AJ98" i="1"/>
  <c r="AI98" i="1"/>
  <c r="AI99" i="1"/>
  <c r="AH99" i="1"/>
  <c r="AM99" i="1"/>
  <c r="AL99" i="1"/>
  <c r="AK99" i="1"/>
  <c r="AJ104" i="1"/>
  <c r="AM105" i="1"/>
  <c r="S113" i="1"/>
  <c r="AJ118" i="1"/>
  <c r="AI118" i="1"/>
  <c r="AH118" i="1"/>
  <c r="AM145" i="1"/>
  <c r="AG146" i="1"/>
  <c r="I166" i="1"/>
  <c r="I175" i="1"/>
  <c r="V175" i="1"/>
  <c r="Q175" i="1"/>
  <c r="M175" i="1"/>
  <c r="K175" i="1"/>
  <c r="U175" i="1"/>
  <c r="S175" i="1"/>
  <c r="O175" i="1"/>
  <c r="AH177" i="1"/>
  <c r="AL177" i="1"/>
  <c r="AK177" i="1"/>
  <c r="AM177" i="1"/>
  <c r="AJ177" i="1"/>
  <c r="AI177" i="1"/>
  <c r="I188" i="1"/>
  <c r="V188" i="1"/>
  <c r="S188" i="1"/>
  <c r="O188" i="1"/>
  <c r="M188" i="1"/>
  <c r="U188" i="1"/>
  <c r="Q188" i="1"/>
  <c r="K188" i="1"/>
  <c r="AH191" i="1"/>
  <c r="AM191" i="1"/>
  <c r="AJ191" i="1"/>
  <c r="AI191" i="1"/>
  <c r="AL191" i="1"/>
  <c r="AK191" i="1"/>
  <c r="AG191" i="1"/>
  <c r="AL211" i="1"/>
  <c r="AH211" i="1"/>
  <c r="AG211" i="1"/>
  <c r="AM211" i="1"/>
  <c r="AK211" i="1"/>
  <c r="AJ211" i="1"/>
  <c r="AG223" i="1"/>
  <c r="AK223" i="1"/>
  <c r="AI223" i="1"/>
  <c r="AM223" i="1"/>
  <c r="AL223" i="1"/>
  <c r="AJ223" i="1"/>
  <c r="AH258" i="1"/>
  <c r="V371" i="1"/>
  <c r="AM371" i="1"/>
  <c r="V380" i="1"/>
  <c r="AM380" i="1"/>
  <c r="S39" i="1"/>
  <c r="AL81" i="1"/>
  <c r="AK81" i="1"/>
  <c r="AM81" i="1"/>
  <c r="AJ81" i="1"/>
  <c r="AH106" i="1"/>
  <c r="AG106" i="1"/>
  <c r="AK106" i="1"/>
  <c r="AJ106" i="1"/>
  <c r="V138" i="1"/>
  <c r="S138" i="1"/>
  <c r="Q138" i="1"/>
  <c r="K138" i="1"/>
  <c r="M138" i="1"/>
  <c r="I138" i="1"/>
  <c r="AG220" i="1"/>
  <c r="AL220" i="1"/>
  <c r="AJ220" i="1"/>
  <c r="AK220" i="1"/>
  <c r="AI220" i="1"/>
  <c r="AK310" i="1"/>
  <c r="AJ310" i="1"/>
  <c r="AI310" i="1"/>
  <c r="AH310" i="1"/>
  <c r="AG310" i="1"/>
  <c r="AM310" i="1"/>
  <c r="AL310" i="1"/>
  <c r="AH42" i="1"/>
  <c r="AG42" i="1"/>
  <c r="AI45" i="1"/>
  <c r="I48" i="1"/>
  <c r="V48" i="1"/>
  <c r="Q51" i="1"/>
  <c r="O51" i="1"/>
  <c r="AK56" i="1"/>
  <c r="AI56" i="1"/>
  <c r="U60" i="1"/>
  <c r="O60" i="1"/>
  <c r="M60" i="1"/>
  <c r="AG81" i="1"/>
  <c r="AG105" i="1"/>
  <c r="V116" i="1"/>
  <c r="AM116" i="1"/>
  <c r="AK152" i="1"/>
  <c r="AI152" i="1"/>
  <c r="AH152" i="1"/>
  <c r="AM152" i="1"/>
  <c r="AL152" i="1"/>
  <c r="AJ162" i="1"/>
  <c r="AM292" i="1"/>
  <c r="AI292" i="1"/>
  <c r="AL292" i="1"/>
  <c r="AJ292" i="1"/>
  <c r="AK292" i="1"/>
  <c r="AK11" i="1"/>
  <c r="AJ11" i="1"/>
  <c r="AL23" i="1"/>
  <c r="AK23" i="1"/>
  <c r="AG23" i="1"/>
  <c r="AH61" i="1"/>
  <c r="AM61" i="1"/>
  <c r="AL61" i="1"/>
  <c r="AK89" i="1"/>
  <c r="AJ89" i="1"/>
  <c r="AI89" i="1"/>
  <c r="AG145" i="1"/>
  <c r="AH213" i="1"/>
  <c r="AM213" i="1"/>
  <c r="AK213" i="1"/>
  <c r="AI213" i="1"/>
  <c r="AG213" i="1"/>
  <c r="AM220" i="1"/>
  <c r="AL9" i="1"/>
  <c r="AK9" i="1"/>
  <c r="AI11" i="1"/>
  <c r="AI14" i="1"/>
  <c r="AJ17" i="1"/>
  <c r="AJ23" i="1"/>
  <c r="AJ29" i="1"/>
  <c r="AJ35" i="1"/>
  <c r="AB40" i="1"/>
  <c r="F40" i="1" s="1"/>
  <c r="S41" i="1"/>
  <c r="AL42" i="1"/>
  <c r="AL43" i="1"/>
  <c r="AK43" i="1"/>
  <c r="AG43" i="1"/>
  <c r="AM45" i="1"/>
  <c r="O48" i="1"/>
  <c r="M51" i="1"/>
  <c r="AJ52" i="1"/>
  <c r="S54" i="1"/>
  <c r="K55" i="1"/>
  <c r="AM56" i="1"/>
  <c r="Z58" i="1"/>
  <c r="M58" i="1"/>
  <c r="K58" i="1"/>
  <c r="AK59" i="1"/>
  <c r="AK61" i="1"/>
  <c r="AM65" i="1"/>
  <c r="AL65" i="1"/>
  <c r="AJ69" i="1"/>
  <c r="AG70" i="1"/>
  <c r="AL70" i="1"/>
  <c r="AK70" i="1"/>
  <c r="AJ70" i="1"/>
  <c r="AG71" i="1"/>
  <c r="AG85" i="1"/>
  <c r="AL89" i="1"/>
  <c r="AI90" i="1"/>
  <c r="AH90" i="1"/>
  <c r="AL90" i="1"/>
  <c r="AK90" i="1"/>
  <c r="AK93" i="1"/>
  <c r="AI94" i="1"/>
  <c r="AH94" i="1"/>
  <c r="AK94" i="1"/>
  <c r="AJ94" i="1"/>
  <c r="AG94" i="1"/>
  <c r="AH95" i="1"/>
  <c r="AG98" i="1"/>
  <c r="AM104" i="1"/>
  <c r="AH110" i="1"/>
  <c r="AG110" i="1"/>
  <c r="AK110" i="1"/>
  <c r="AJ110" i="1"/>
  <c r="AI110" i="1"/>
  <c r="AM111" i="1"/>
  <c r="AK111" i="1"/>
  <c r="AJ111" i="1"/>
  <c r="AI111" i="1"/>
  <c r="U113" i="1"/>
  <c r="AG118" i="1"/>
  <c r="M144" i="1"/>
  <c r="I144" i="1"/>
  <c r="Z144" i="1"/>
  <c r="V144" i="1"/>
  <c r="O144" i="1"/>
  <c r="K144" i="1"/>
  <c r="AJ146" i="1"/>
  <c r="AK154" i="1"/>
  <c r="AI154" i="1"/>
  <c r="AH154" i="1"/>
  <c r="AL154" i="1"/>
  <c r="AJ154" i="1"/>
  <c r="AG154" i="1"/>
  <c r="V165" i="1"/>
  <c r="U165" i="1"/>
  <c r="O165" i="1"/>
  <c r="Z165" i="1"/>
  <c r="K165" i="1"/>
  <c r="I165" i="1"/>
  <c r="M166" i="1"/>
  <c r="I167" i="1"/>
  <c r="AK168" i="1"/>
  <c r="AI168" i="1"/>
  <c r="AH168" i="1"/>
  <c r="AG168" i="1"/>
  <c r="AG177" i="1"/>
  <c r="AH188" i="1"/>
  <c r="AI188" i="1"/>
  <c r="AM188" i="1"/>
  <c r="AJ188" i="1"/>
  <c r="AG188" i="1"/>
  <c r="AL188" i="1"/>
  <c r="AK188" i="1"/>
  <c r="U190" i="1"/>
  <c r="AI211" i="1"/>
  <c r="AH223" i="1"/>
  <c r="AL258" i="1"/>
  <c r="I260" i="1"/>
  <c r="Z260" i="1"/>
  <c r="V260" i="1"/>
  <c r="Q260" i="1"/>
  <c r="O260" i="1"/>
  <c r="M260" i="1"/>
  <c r="K260" i="1"/>
  <c r="AL77" i="1"/>
  <c r="AK77" i="1"/>
  <c r="AK97" i="1"/>
  <c r="AJ97" i="1"/>
  <c r="AM100" i="1"/>
  <c r="AJ107" i="1"/>
  <c r="AM109" i="1"/>
  <c r="V136" i="1"/>
  <c r="S136" i="1"/>
  <c r="Q136" i="1"/>
  <c r="K136" i="1"/>
  <c r="AM138" i="1"/>
  <c r="AJ138" i="1"/>
  <c r="AJ165" i="1"/>
  <c r="M168" i="1"/>
  <c r="I202" i="1"/>
  <c r="V202" i="1"/>
  <c r="K202" i="1"/>
  <c r="Z202" i="1"/>
  <c r="S202" i="1"/>
  <c r="Q202" i="1"/>
  <c r="Q282" i="1"/>
  <c r="O282" i="1"/>
  <c r="U282" i="1"/>
  <c r="M282" i="1"/>
  <c r="S282" i="1"/>
  <c r="I282" i="1"/>
  <c r="K282" i="1"/>
  <c r="Z305" i="1"/>
  <c r="V305" i="1"/>
  <c r="U305" i="1"/>
  <c r="O305" i="1"/>
  <c r="M305" i="1"/>
  <c r="Q305" i="1"/>
  <c r="S305" i="1"/>
  <c r="I305" i="1"/>
  <c r="AM338" i="1"/>
  <c r="AK338" i="1"/>
  <c r="AI338" i="1"/>
  <c r="AH338" i="1"/>
  <c r="AL458" i="1"/>
  <c r="AK458" i="1"/>
  <c r="AG458" i="1"/>
  <c r="AJ458" i="1"/>
  <c r="AI458" i="1"/>
  <c r="AH458" i="1"/>
  <c r="AM458" i="1"/>
  <c r="AL490" i="1"/>
  <c r="AK490" i="1"/>
  <c r="AJ490" i="1"/>
  <c r="AH490" i="1"/>
  <c r="AG490" i="1"/>
  <c r="AI490" i="1"/>
  <c r="AM490" i="1"/>
  <c r="AG77" i="1"/>
  <c r="AI92" i="1"/>
  <c r="AH92" i="1"/>
  <c r="AG97" i="1"/>
  <c r="AG100" i="1"/>
  <c r="O102" i="1"/>
  <c r="M102" i="1"/>
  <c r="AH103" i="1"/>
  <c r="AG103" i="1"/>
  <c r="AG109" i="1"/>
  <c r="Z114" i="1"/>
  <c r="V114" i="1"/>
  <c r="AK117" i="1"/>
  <c r="AJ117" i="1"/>
  <c r="AG138" i="1"/>
  <c r="U157" i="1"/>
  <c r="Q157" i="1"/>
  <c r="O157" i="1"/>
  <c r="I157" i="1"/>
  <c r="Z158" i="1"/>
  <c r="S158" i="1"/>
  <c r="AL165" i="1"/>
  <c r="Q168" i="1"/>
  <c r="I169" i="1"/>
  <c r="V174" i="1"/>
  <c r="AM174" i="1"/>
  <c r="S176" i="1"/>
  <c r="I176" i="1"/>
  <c r="V176" i="1"/>
  <c r="U176" i="1"/>
  <c r="AH183" i="1"/>
  <c r="AL183" i="1"/>
  <c r="AJ183" i="1"/>
  <c r="AI183" i="1"/>
  <c r="Q189" i="1"/>
  <c r="U189" i="1"/>
  <c r="I189" i="1"/>
  <c r="Z189" i="1"/>
  <c r="V189" i="1"/>
  <c r="AI192" i="1"/>
  <c r="AM192" i="1"/>
  <c r="AK192" i="1"/>
  <c r="AH192" i="1"/>
  <c r="AG192" i="1"/>
  <c r="Q194" i="1"/>
  <c r="S194" i="1"/>
  <c r="U194" i="1"/>
  <c r="M194" i="1"/>
  <c r="K194" i="1"/>
  <c r="I196" i="1"/>
  <c r="V196" i="1"/>
  <c r="Z196" i="1"/>
  <c r="S196" i="1"/>
  <c r="Q196" i="1"/>
  <c r="O196" i="1"/>
  <c r="Q197" i="1"/>
  <c r="K197" i="1"/>
  <c r="Z197" i="1"/>
  <c r="U197" i="1"/>
  <c r="S197" i="1"/>
  <c r="I197" i="1"/>
  <c r="AH202" i="1"/>
  <c r="AK202" i="1"/>
  <c r="AI202" i="1"/>
  <c r="AM202" i="1"/>
  <c r="AL202" i="1"/>
  <c r="K214" i="1"/>
  <c r="AM216" i="1"/>
  <c r="V216" i="1"/>
  <c r="AH249" i="1"/>
  <c r="AG249" i="1"/>
  <c r="AI249" i="1"/>
  <c r="AJ249" i="1"/>
  <c r="AJ252" i="1"/>
  <c r="AI252" i="1"/>
  <c r="AH252" i="1"/>
  <c r="AM252" i="1"/>
  <c r="AK252" i="1"/>
  <c r="AL252" i="1"/>
  <c r="I269" i="1"/>
  <c r="Z269" i="1"/>
  <c r="Q269" i="1"/>
  <c r="O269" i="1"/>
  <c r="S269" i="1"/>
  <c r="M269" i="1"/>
  <c r="S281" i="1"/>
  <c r="Z281" i="1"/>
  <c r="O281" i="1"/>
  <c r="M281" i="1"/>
  <c r="K281" i="1"/>
  <c r="V281" i="1"/>
  <c r="Q281" i="1"/>
  <c r="AM286" i="1"/>
  <c r="AL286" i="1"/>
  <c r="AG286" i="1"/>
  <c r="AK286" i="1"/>
  <c r="AI286" i="1"/>
  <c r="AJ286" i="1"/>
  <c r="AH286" i="1"/>
  <c r="V297" i="1"/>
  <c r="U297" i="1"/>
  <c r="S297" i="1"/>
  <c r="K297" i="1"/>
  <c r="Z297" i="1"/>
  <c r="I297" i="1"/>
  <c r="Q297" i="1"/>
  <c r="M297" i="1"/>
  <c r="AG338" i="1"/>
  <c r="AG54" i="1"/>
  <c r="AH60" i="1"/>
  <c r="AG62" i="1"/>
  <c r="AG75" i="1"/>
  <c r="AH77" i="1"/>
  <c r="AL87" i="1"/>
  <c r="AK87" i="1"/>
  <c r="AG92" i="1"/>
  <c r="AH97" i="1"/>
  <c r="AH100" i="1"/>
  <c r="AI103" i="1"/>
  <c r="Z108" i="1"/>
  <c r="V108" i="1"/>
  <c r="AH109" i="1"/>
  <c r="AG117" i="1"/>
  <c r="AG120" i="1"/>
  <c r="AI126" i="1"/>
  <c r="AM134" i="1"/>
  <c r="AJ134" i="1"/>
  <c r="I136" i="1"/>
  <c r="AH138" i="1"/>
  <c r="AM159" i="1"/>
  <c r="AK159" i="1"/>
  <c r="AJ159" i="1"/>
  <c r="AG159" i="1"/>
  <c r="K163" i="1"/>
  <c r="V163" i="1"/>
  <c r="AM165" i="1"/>
  <c r="M169" i="1"/>
  <c r="AG183" i="1"/>
  <c r="AI184" i="1"/>
  <c r="AG184" i="1"/>
  <c r="AM184" i="1"/>
  <c r="AL189" i="1"/>
  <c r="AG189" i="1"/>
  <c r="AK189" i="1"/>
  <c r="AI189" i="1"/>
  <c r="AH189" i="1"/>
  <c r="AJ192" i="1"/>
  <c r="AL194" i="1"/>
  <c r="AG194" i="1"/>
  <c r="AM194" i="1"/>
  <c r="AI194" i="1"/>
  <c r="AH194" i="1"/>
  <c r="Z198" i="1"/>
  <c r="O198" i="1"/>
  <c r="V198" i="1"/>
  <c r="S198" i="1"/>
  <c r="M198" i="1"/>
  <c r="K198" i="1"/>
  <c r="I199" i="1"/>
  <c r="V199" i="1"/>
  <c r="Q199" i="1"/>
  <c r="M199" i="1"/>
  <c r="K199" i="1"/>
  <c r="AG202" i="1"/>
  <c r="Z207" i="1"/>
  <c r="O207" i="1"/>
  <c r="U207" i="1"/>
  <c r="Q207" i="1"/>
  <c r="M207" i="1"/>
  <c r="V222" i="1"/>
  <c r="O222" i="1"/>
  <c r="M222" i="1"/>
  <c r="S222" i="1"/>
  <c r="K222" i="1"/>
  <c r="Z222" i="1"/>
  <c r="I222" i="1"/>
  <c r="AK249" i="1"/>
  <c r="AM251" i="1"/>
  <c r="AG252" i="1"/>
  <c r="Z287" i="1"/>
  <c r="V287" i="1"/>
  <c r="O287" i="1"/>
  <c r="Q287" i="1"/>
  <c r="M287" i="1"/>
  <c r="K287" i="1"/>
  <c r="S287" i="1"/>
  <c r="U287" i="1"/>
  <c r="I287" i="1"/>
  <c r="V364" i="1"/>
  <c r="AM364" i="1"/>
  <c r="AM388" i="1"/>
  <c r="AL388" i="1"/>
  <c r="AI388" i="1"/>
  <c r="AH388" i="1"/>
  <c r="AG388" i="1"/>
  <c r="AK388" i="1"/>
  <c r="AJ388" i="1"/>
  <c r="AJ13" i="1"/>
  <c r="AJ15" i="1"/>
  <c r="AJ38" i="1"/>
  <c r="AL54" i="1"/>
  <c r="AK58" i="1"/>
  <c r="AL60" i="1"/>
  <c r="AK62" i="1"/>
  <c r="AK64" i="1"/>
  <c r="O66" i="1"/>
  <c r="AJ73" i="1"/>
  <c r="AL75" i="1"/>
  <c r="AL83" i="1"/>
  <c r="AK83" i="1"/>
  <c r="AJ87" i="1"/>
  <c r="AM92" i="1"/>
  <c r="V98" i="1"/>
  <c r="U98" i="1"/>
  <c r="AL100" i="1"/>
  <c r="S102" i="1"/>
  <c r="AM103" i="1"/>
  <c r="M108" i="1"/>
  <c r="AL109" i="1"/>
  <c r="O114" i="1"/>
  <c r="AM117" i="1"/>
  <c r="AK120" i="1"/>
  <c r="AJ121" i="1"/>
  <c r="AI121" i="1"/>
  <c r="AM130" i="1"/>
  <c r="AK134" i="1"/>
  <c r="Z136" i="1"/>
  <c r="AJ149" i="1"/>
  <c r="AJ155" i="1"/>
  <c r="V157" i="1"/>
  <c r="O158" i="1"/>
  <c r="V160" i="1"/>
  <c r="U160" i="1"/>
  <c r="O160" i="1"/>
  <c r="U169" i="1"/>
  <c r="AM172" i="1"/>
  <c r="AJ172" i="1"/>
  <c r="AI172" i="1"/>
  <c r="Q176" i="1"/>
  <c r="AI180" i="1"/>
  <c r="AM180" i="1"/>
  <c r="AL180" i="1"/>
  <c r="AH180" i="1"/>
  <c r="AG180" i="1"/>
  <c r="AL184" i="1"/>
  <c r="Z204" i="1"/>
  <c r="O204" i="1"/>
  <c r="M204" i="1"/>
  <c r="I204" i="1"/>
  <c r="K204" i="1"/>
  <c r="O221" i="1"/>
  <c r="Z221" i="1"/>
  <c r="U221" i="1"/>
  <c r="S221" i="1"/>
  <c r="AM224" i="1"/>
  <c r="AI224" i="1"/>
  <c r="AH224" i="1"/>
  <c r="AJ224" i="1"/>
  <c r="AG224" i="1"/>
  <c r="V317" i="1"/>
  <c r="V346" i="1"/>
  <c r="AM346" i="1"/>
  <c r="AM62" i="1"/>
  <c r="AL64" i="1"/>
  <c r="AL73" i="1"/>
  <c r="AM75" i="1"/>
  <c r="AG83" i="1"/>
  <c r="AM87" i="1"/>
  <c r="U102" i="1"/>
  <c r="O108" i="1"/>
  <c r="AL113" i="1"/>
  <c r="AK113" i="1"/>
  <c r="Q114" i="1"/>
  <c r="AG121" i="1"/>
  <c r="AL134" i="1"/>
  <c r="AM136" i="1"/>
  <c r="AJ136" i="1"/>
  <c r="AK144" i="1"/>
  <c r="AI144" i="1"/>
  <c r="AH144" i="1"/>
  <c r="AG147" i="1"/>
  <c r="AL149" i="1"/>
  <c r="AK150" i="1"/>
  <c r="AI150" i="1"/>
  <c r="AH150" i="1"/>
  <c r="AG153" i="1"/>
  <c r="AL155" i="1"/>
  <c r="Z157" i="1"/>
  <c r="Q158" i="1"/>
  <c r="I163" i="1"/>
  <c r="AM164" i="1"/>
  <c r="AK164" i="1"/>
  <c r="AJ164" i="1"/>
  <c r="AG164" i="1"/>
  <c r="AG172" i="1"/>
  <c r="Z176" i="1"/>
  <c r="AJ180" i="1"/>
  <c r="AL197" i="1"/>
  <c r="AG197" i="1"/>
  <c r="AK197" i="1"/>
  <c r="AI197" i="1"/>
  <c r="AM197" i="1"/>
  <c r="AK222" i="1"/>
  <c r="AJ222" i="1"/>
  <c r="AG222" i="1"/>
  <c r="AK224" i="1"/>
  <c r="AH225" i="1"/>
  <c r="AG225" i="1"/>
  <c r="AM225" i="1"/>
  <c r="AK225" i="1"/>
  <c r="AJ225" i="1"/>
  <c r="AM230" i="1"/>
  <c r="AM240" i="1"/>
  <c r="Q263" i="1"/>
  <c r="V263" i="1"/>
  <c r="M263" i="1"/>
  <c r="K263" i="1"/>
  <c r="O263" i="1"/>
  <c r="K276" i="1"/>
  <c r="I276" i="1"/>
  <c r="S276" i="1"/>
  <c r="Q276" i="1"/>
  <c r="M276" i="1"/>
  <c r="U280" i="1"/>
  <c r="S280" i="1"/>
  <c r="I280" i="1"/>
  <c r="Z280" i="1"/>
  <c r="V280" i="1"/>
  <c r="Q280" i="1"/>
  <c r="K280" i="1"/>
  <c r="O280" i="1"/>
  <c r="M280" i="1"/>
  <c r="AM312" i="1"/>
  <c r="AL107" i="1"/>
  <c r="AK107" i="1"/>
  <c r="AJ156" i="1"/>
  <c r="AH156" i="1"/>
  <c r="AG156" i="1"/>
  <c r="AM157" i="1"/>
  <c r="AL157" i="1"/>
  <c r="AI157" i="1"/>
  <c r="AK161" i="1"/>
  <c r="AI161" i="1"/>
  <c r="AH161" i="1"/>
  <c r="V168" i="1"/>
  <c r="U168" i="1"/>
  <c r="O168" i="1"/>
  <c r="K169" i="1"/>
  <c r="V169" i="1"/>
  <c r="AI176" i="1"/>
  <c r="AK176" i="1"/>
  <c r="AH176" i="1"/>
  <c r="AG176" i="1"/>
  <c r="Q214" i="1"/>
  <c r="I214" i="1"/>
  <c r="M214" i="1"/>
  <c r="AM219" i="1"/>
  <c r="AI219" i="1"/>
  <c r="AH219" i="1"/>
  <c r="AJ219" i="1"/>
  <c r="AG219" i="1"/>
  <c r="AJ226" i="1"/>
  <c r="AI226" i="1"/>
  <c r="AL226" i="1"/>
  <c r="AH226" i="1"/>
  <c r="AG226" i="1"/>
  <c r="AJ256" i="1"/>
  <c r="AM256" i="1"/>
  <c r="AG256" i="1"/>
  <c r="AL256" i="1"/>
  <c r="AK256" i="1"/>
  <c r="AM257" i="1"/>
  <c r="AI257" i="1"/>
  <c r="AH257" i="1"/>
  <c r="AJ257" i="1"/>
  <c r="AG257" i="1"/>
  <c r="AM273" i="1"/>
  <c r="V273" i="1"/>
  <c r="AH280" i="1"/>
  <c r="AL280" i="1"/>
  <c r="AJ280" i="1"/>
  <c r="AK280" i="1"/>
  <c r="AG280" i="1"/>
  <c r="U317" i="1"/>
  <c r="S317" i="1"/>
  <c r="Q317" i="1"/>
  <c r="K317" i="1"/>
  <c r="I317" i="1"/>
  <c r="O317" i="1"/>
  <c r="M317" i="1"/>
  <c r="AH334" i="1"/>
  <c r="AL334" i="1"/>
  <c r="AK334" i="1"/>
  <c r="AJ334" i="1"/>
  <c r="AI334" i="1"/>
  <c r="AM334" i="1"/>
  <c r="AG334" i="1"/>
  <c r="AK336" i="1"/>
  <c r="AJ336" i="1"/>
  <c r="AI336" i="1"/>
  <c r="AH336" i="1"/>
  <c r="AM336" i="1"/>
  <c r="AL336" i="1"/>
  <c r="AG336" i="1"/>
  <c r="I191" i="1"/>
  <c r="V191" i="1"/>
  <c r="U215" i="1"/>
  <c r="S215" i="1"/>
  <c r="Z215" i="1"/>
  <c r="AK228" i="1"/>
  <c r="AJ228" i="1"/>
  <c r="AM232" i="1"/>
  <c r="AL232" i="1"/>
  <c r="AK232" i="1"/>
  <c r="AI232" i="1"/>
  <c r="AH235" i="1"/>
  <c r="AM235" i="1"/>
  <c r="AI235" i="1"/>
  <c r="AG235" i="1"/>
  <c r="AL235" i="1"/>
  <c r="AJ235" i="1"/>
  <c r="AG236" i="1"/>
  <c r="AH236" i="1"/>
  <c r="AH262" i="1"/>
  <c r="AJ262" i="1"/>
  <c r="AM262" i="1"/>
  <c r="AK262" i="1"/>
  <c r="AL263" i="1"/>
  <c r="AK263" i="1"/>
  <c r="AJ263" i="1"/>
  <c r="AI263" i="1"/>
  <c r="AG263" i="1"/>
  <c r="AG275" i="1"/>
  <c r="AM275" i="1"/>
  <c r="AK275" i="1"/>
  <c r="AI275" i="1"/>
  <c r="AJ291" i="1"/>
  <c r="AI291" i="1"/>
  <c r="AH291" i="1"/>
  <c r="AL291" i="1"/>
  <c r="AK305" i="1"/>
  <c r="AJ305" i="1"/>
  <c r="AM305" i="1"/>
  <c r="AL305" i="1"/>
  <c r="AI305" i="1"/>
  <c r="M316" i="1"/>
  <c r="K316" i="1"/>
  <c r="I316" i="1"/>
  <c r="Z316" i="1"/>
  <c r="S316" i="1"/>
  <c r="Q316" i="1"/>
  <c r="O316" i="1"/>
  <c r="AH327" i="1"/>
  <c r="AK327" i="1"/>
  <c r="AJ327" i="1"/>
  <c r="AI327" i="1"/>
  <c r="AM327" i="1"/>
  <c r="AL327" i="1"/>
  <c r="I334" i="1"/>
  <c r="O334" i="1"/>
  <c r="M334" i="1"/>
  <c r="K334" i="1"/>
  <c r="Z334" i="1"/>
  <c r="V334" i="1"/>
  <c r="S334" i="1"/>
  <c r="Q334" i="1"/>
  <c r="U334" i="1"/>
  <c r="AJ356" i="1"/>
  <c r="AM356" i="1"/>
  <c r="AI356" i="1"/>
  <c r="AH356" i="1"/>
  <c r="AG356" i="1"/>
  <c r="AL356" i="1"/>
  <c r="AI370" i="1"/>
  <c r="AH370" i="1"/>
  <c r="AG370" i="1"/>
  <c r="AM370" i="1"/>
  <c r="AK370" i="1"/>
  <c r="AJ370" i="1"/>
  <c r="V388" i="1"/>
  <c r="U388" i="1"/>
  <c r="S388" i="1"/>
  <c r="Q388" i="1"/>
  <c r="O388" i="1"/>
  <c r="M388" i="1"/>
  <c r="K388" i="1"/>
  <c r="I388" i="1"/>
  <c r="Z388" i="1"/>
  <c r="AJ409" i="1"/>
  <c r="AI409" i="1"/>
  <c r="AH409" i="1"/>
  <c r="AM409" i="1"/>
  <c r="AL409" i="1"/>
  <c r="AK409" i="1"/>
  <c r="AG409" i="1"/>
  <c r="O424" i="1"/>
  <c r="K424" i="1"/>
  <c r="I424" i="1"/>
  <c r="Q424" i="1"/>
  <c r="M424" i="1"/>
  <c r="V424" i="1"/>
  <c r="U424" i="1"/>
  <c r="S424" i="1"/>
  <c r="U431" i="1"/>
  <c r="K431" i="1"/>
  <c r="V431" i="1"/>
  <c r="S431" i="1"/>
  <c r="Q431" i="1"/>
  <c r="O431" i="1"/>
  <c r="M431" i="1"/>
  <c r="I431" i="1"/>
  <c r="S446" i="1"/>
  <c r="Q446" i="1"/>
  <c r="O446" i="1"/>
  <c r="V446" i="1"/>
  <c r="U446" i="1"/>
  <c r="M446" i="1"/>
  <c r="I446" i="1"/>
  <c r="K446" i="1"/>
  <c r="AG170" i="1"/>
  <c r="AM187" i="1"/>
  <c r="AH199" i="1"/>
  <c r="AL199" i="1"/>
  <c r="AK204" i="1"/>
  <c r="AM204" i="1"/>
  <c r="AJ204" i="1"/>
  <c r="AL209" i="1"/>
  <c r="AH209" i="1"/>
  <c r="AG209" i="1"/>
  <c r="U217" i="1"/>
  <c r="M217" i="1"/>
  <c r="K217" i="1"/>
  <c r="V218" i="1"/>
  <c r="U218" i="1"/>
  <c r="S218" i="1"/>
  <c r="AG228" i="1"/>
  <c r="AG232" i="1"/>
  <c r="AK235" i="1"/>
  <c r="AI236" i="1"/>
  <c r="AG240" i="1"/>
  <c r="AG243" i="1"/>
  <c r="AL243" i="1"/>
  <c r="AK243" i="1"/>
  <c r="AG262" i="1"/>
  <c r="AH263" i="1"/>
  <c r="AL267" i="1"/>
  <c r="AM267" i="1"/>
  <c r="Z268" i="1"/>
  <c r="M268" i="1"/>
  <c r="Q268" i="1"/>
  <c r="K268" i="1"/>
  <c r="AH275" i="1"/>
  <c r="AG291" i="1"/>
  <c r="V295" i="1"/>
  <c r="AM295" i="1"/>
  <c r="AG305" i="1"/>
  <c r="Z310" i="1"/>
  <c r="V310" i="1"/>
  <c r="U310" i="1"/>
  <c r="O310" i="1"/>
  <c r="M310" i="1"/>
  <c r="Q310" i="1"/>
  <c r="I310" i="1"/>
  <c r="AG327" i="1"/>
  <c r="AK356" i="1"/>
  <c r="AI431" i="1"/>
  <c r="AL431" i="1"/>
  <c r="AK431" i="1"/>
  <c r="AJ431" i="1"/>
  <c r="AH431" i="1"/>
  <c r="AM431" i="1"/>
  <c r="AG431" i="1"/>
  <c r="AI125" i="1"/>
  <c r="AI129" i="1"/>
  <c r="AI131" i="1"/>
  <c r="AI133" i="1"/>
  <c r="AI140" i="1"/>
  <c r="AI142" i="1"/>
  <c r="K159" i="1"/>
  <c r="AK170" i="1"/>
  <c r="AJ178" i="1"/>
  <c r="AL186" i="1"/>
  <c r="AG186" i="1"/>
  <c r="O191" i="1"/>
  <c r="AJ199" i="1"/>
  <c r="AI204" i="1"/>
  <c r="AH205" i="1"/>
  <c r="AG205" i="1"/>
  <c r="AK209" i="1"/>
  <c r="O217" i="1"/>
  <c r="K218" i="1"/>
  <c r="Q219" i="1"/>
  <c r="I219" i="1"/>
  <c r="S219" i="1"/>
  <c r="M219" i="1"/>
  <c r="AL228" i="1"/>
  <c r="AH229" i="1"/>
  <c r="AJ229" i="1"/>
  <c r="AL229" i="1"/>
  <c r="AI229" i="1"/>
  <c r="AL236" i="1"/>
  <c r="AH237" i="1"/>
  <c r="AJ237" i="1"/>
  <c r="AI237" i="1"/>
  <c r="AK240" i="1"/>
  <c r="AJ243" i="1"/>
  <c r="Z251" i="1"/>
  <c r="U251" i="1"/>
  <c r="S251" i="1"/>
  <c r="Q251" i="1"/>
  <c r="M251" i="1"/>
  <c r="AK259" i="1"/>
  <c r="AJ259" i="1"/>
  <c r="AL259" i="1"/>
  <c r="AH259" i="1"/>
  <c r="AI267" i="1"/>
  <c r="V279" i="1"/>
  <c r="AM283" i="1"/>
  <c r="V283" i="1"/>
  <c r="Q298" i="1"/>
  <c r="I303" i="1"/>
  <c r="U303" i="1"/>
  <c r="S303" i="1"/>
  <c r="Q303" i="1"/>
  <c r="O303" i="1"/>
  <c r="M303" i="1"/>
  <c r="S310" i="1"/>
  <c r="AM337" i="1"/>
  <c r="S432" i="1"/>
  <c r="K432" i="1"/>
  <c r="I432" i="1"/>
  <c r="O432" i="1"/>
  <c r="M432" i="1"/>
  <c r="V432" i="1"/>
  <c r="U432" i="1"/>
  <c r="Q432" i="1"/>
  <c r="U467" i="1"/>
  <c r="S467" i="1"/>
  <c r="M467" i="1"/>
  <c r="K467" i="1"/>
  <c r="Q467" i="1"/>
  <c r="O467" i="1"/>
  <c r="I467" i="1"/>
  <c r="V467" i="1"/>
  <c r="AJ125" i="1"/>
  <c r="AJ129" i="1"/>
  <c r="AJ131" i="1"/>
  <c r="AJ133" i="1"/>
  <c r="AJ140" i="1"/>
  <c r="M159" i="1"/>
  <c r="AK178" i="1"/>
  <c r="AG181" i="1"/>
  <c r="AH186" i="1"/>
  <c r="Q191" i="1"/>
  <c r="AG196" i="1"/>
  <c r="AK199" i="1"/>
  <c r="AL200" i="1"/>
  <c r="AG200" i="1"/>
  <c r="AH200" i="1"/>
  <c r="AL204" i="1"/>
  <c r="AI205" i="1"/>
  <c r="AM209" i="1"/>
  <c r="Q217" i="1"/>
  <c r="M218" i="1"/>
  <c r="AM228" i="1"/>
  <c r="AL230" i="1"/>
  <c r="AK230" i="1"/>
  <c r="AG230" i="1"/>
  <c r="AM236" i="1"/>
  <c r="AL240" i="1"/>
  <c r="AH241" i="1"/>
  <c r="AL241" i="1"/>
  <c r="AK241" i="1"/>
  <c r="AJ241" i="1"/>
  <c r="AM243" i="1"/>
  <c r="AM248" i="1"/>
  <c r="AI248" i="1"/>
  <c r="AH248" i="1"/>
  <c r="AL248" i="1"/>
  <c r="AJ248" i="1"/>
  <c r="AG259" i="1"/>
  <c r="AH260" i="1"/>
  <c r="AI260" i="1"/>
  <c r="AG260" i="1"/>
  <c r="AL265" i="1"/>
  <c r="AM265" i="1"/>
  <c r="AK265" i="1"/>
  <c r="AJ267" i="1"/>
  <c r="AH269" i="1"/>
  <c r="AM269" i="1"/>
  <c r="AL269" i="1"/>
  <c r="AJ269" i="1"/>
  <c r="AG269" i="1"/>
  <c r="U320" i="1"/>
  <c r="Z320" i="1"/>
  <c r="V320" i="1"/>
  <c r="S320" i="1"/>
  <c r="M320" i="1"/>
  <c r="K320" i="1"/>
  <c r="Q320" i="1"/>
  <c r="O320" i="1"/>
  <c r="I320" i="1"/>
  <c r="U338" i="1"/>
  <c r="M338" i="1"/>
  <c r="K338" i="1"/>
  <c r="I338" i="1"/>
  <c r="Z338" i="1"/>
  <c r="V338" i="1"/>
  <c r="S338" i="1"/>
  <c r="Q338" i="1"/>
  <c r="O338" i="1"/>
  <c r="AM178" i="1"/>
  <c r="U191" i="1"/>
  <c r="AH193" i="1"/>
  <c r="AG193" i="1"/>
  <c r="AL206" i="1"/>
  <c r="AG206" i="1"/>
  <c r="AM206" i="1"/>
  <c r="K215" i="1"/>
  <c r="AM234" i="1"/>
  <c r="AH238" i="1"/>
  <c r="AL238" i="1"/>
  <c r="AJ238" i="1"/>
  <c r="V255" i="1"/>
  <c r="AM255" i="1"/>
  <c r="AM259" i="1"/>
  <c r="AI288" i="1"/>
  <c r="AH288" i="1"/>
  <c r="AG288" i="1"/>
  <c r="AM288" i="1"/>
  <c r="AL288" i="1"/>
  <c r="AK288" i="1"/>
  <c r="S298" i="1"/>
  <c r="U298" i="1"/>
  <c r="O298" i="1"/>
  <c r="K298" i="1"/>
  <c r="AJ313" i="1"/>
  <c r="AI313" i="1"/>
  <c r="AH313" i="1"/>
  <c r="AG313" i="1"/>
  <c r="AK313" i="1"/>
  <c r="AM320" i="1"/>
  <c r="AL320" i="1"/>
  <c r="AK320" i="1"/>
  <c r="V382" i="1"/>
  <c r="AM382" i="1"/>
  <c r="AH325" i="1"/>
  <c r="AM325" i="1"/>
  <c r="AJ325" i="1"/>
  <c r="AI325" i="1"/>
  <c r="AG325" i="1"/>
  <c r="AL325" i="1"/>
  <c r="AK325" i="1"/>
  <c r="AI214" i="1"/>
  <c r="AH214" i="1"/>
  <c r="AI276" i="1"/>
  <c r="AH276" i="1"/>
  <c r="AL276" i="1"/>
  <c r="AK276" i="1"/>
  <c r="AG276" i="1"/>
  <c r="M279" i="1"/>
  <c r="K279" i="1"/>
  <c r="Z279" i="1"/>
  <c r="Q279" i="1"/>
  <c r="I279" i="1"/>
  <c r="O294" i="1"/>
  <c r="M294" i="1"/>
  <c r="K294" i="1"/>
  <c r="U294" i="1"/>
  <c r="Q294" i="1"/>
  <c r="I306" i="1"/>
  <c r="V306" i="1"/>
  <c r="U306" i="1"/>
  <c r="S306" i="1"/>
  <c r="O306" i="1"/>
  <c r="AK312" i="1"/>
  <c r="AJ312" i="1"/>
  <c r="AL312" i="1"/>
  <c r="AH312" i="1"/>
  <c r="Z336" i="1"/>
  <c r="M336" i="1"/>
  <c r="K336" i="1"/>
  <c r="I336" i="1"/>
  <c r="V336" i="1"/>
  <c r="U336" i="1"/>
  <c r="Q336" i="1"/>
  <c r="O336" i="1"/>
  <c r="AK343" i="1"/>
  <c r="AL343" i="1"/>
  <c r="AJ343" i="1"/>
  <c r="AI343" i="1"/>
  <c r="AH343" i="1"/>
  <c r="K389" i="1"/>
  <c r="I389" i="1"/>
  <c r="V389" i="1"/>
  <c r="U389" i="1"/>
  <c r="S389" i="1"/>
  <c r="O389" i="1"/>
  <c r="M389" i="1"/>
  <c r="V394" i="1"/>
  <c r="U394" i="1"/>
  <c r="Z394" i="1"/>
  <c r="M394" i="1"/>
  <c r="K394" i="1"/>
  <c r="I394" i="1"/>
  <c r="Q394" i="1"/>
  <c r="O394" i="1"/>
  <c r="AL399" i="1"/>
  <c r="AK399" i="1"/>
  <c r="AJ399" i="1"/>
  <c r="AM399" i="1"/>
  <c r="AI399" i="1"/>
  <c r="AH399" i="1"/>
  <c r="U440" i="1"/>
  <c r="M440" i="1"/>
  <c r="K440" i="1"/>
  <c r="S440" i="1"/>
  <c r="O440" i="1"/>
  <c r="I440" i="1"/>
  <c r="V440" i="1"/>
  <c r="Q440" i="1"/>
  <c r="AL446" i="1"/>
  <c r="AK446" i="1"/>
  <c r="AJ446" i="1"/>
  <c r="AM446" i="1"/>
  <c r="AI446" i="1"/>
  <c r="AH446" i="1"/>
  <c r="O387" i="1"/>
  <c r="I387" i="1"/>
  <c r="V387" i="1"/>
  <c r="U387" i="1"/>
  <c r="S387" i="1"/>
  <c r="Q387" i="1"/>
  <c r="Z387" i="1"/>
  <c r="M387" i="1"/>
  <c r="K387" i="1"/>
  <c r="O395" i="1"/>
  <c r="M395" i="1"/>
  <c r="K395" i="1"/>
  <c r="V395" i="1"/>
  <c r="U395" i="1"/>
  <c r="S395" i="1"/>
  <c r="Q395" i="1"/>
  <c r="I395" i="1"/>
  <c r="K450" i="1"/>
  <c r="U450" i="1"/>
  <c r="M450" i="1"/>
  <c r="I450" i="1"/>
  <c r="V450" i="1"/>
  <c r="S450" i="1"/>
  <c r="Q450" i="1"/>
  <c r="O450" i="1"/>
  <c r="AJ214" i="1"/>
  <c r="AH227" i="1"/>
  <c r="AI227" i="1"/>
  <c r="AH239" i="1"/>
  <c r="AK239" i="1"/>
  <c r="AJ239" i="1"/>
  <c r="AL246" i="1"/>
  <c r="AH246" i="1"/>
  <c r="AG246" i="1"/>
  <c r="AH253" i="1"/>
  <c r="U277" i="1"/>
  <c r="S277" i="1"/>
  <c r="I277" i="1"/>
  <c r="Z277" i="1"/>
  <c r="O279" i="1"/>
  <c r="K288" i="1"/>
  <c r="I288" i="1"/>
  <c r="V288" i="1"/>
  <c r="Z288" i="1"/>
  <c r="S288" i="1"/>
  <c r="Z290" i="1"/>
  <c r="V290" i="1"/>
  <c r="O290" i="1"/>
  <c r="M290" i="1"/>
  <c r="I290" i="1"/>
  <c r="M291" i="1"/>
  <c r="K291" i="1"/>
  <c r="I291" i="1"/>
  <c r="Z291" i="1"/>
  <c r="V291" i="1"/>
  <c r="U291" i="1"/>
  <c r="I294" i="1"/>
  <c r="AI312" i="1"/>
  <c r="V330" i="1"/>
  <c r="AM330" i="1"/>
  <c r="S336" i="1"/>
  <c r="AM342" i="1"/>
  <c r="AM343" i="1"/>
  <c r="AJ357" i="1"/>
  <c r="AL357" i="1"/>
  <c r="AK357" i="1"/>
  <c r="AI357" i="1"/>
  <c r="AH357" i="1"/>
  <c r="AM357" i="1"/>
  <c r="AK387" i="1"/>
  <c r="AI387" i="1"/>
  <c r="AH387" i="1"/>
  <c r="AG387" i="1"/>
  <c r="AM387" i="1"/>
  <c r="AL387" i="1"/>
  <c r="AJ387" i="1"/>
  <c r="S394" i="1"/>
  <c r="AL405" i="1"/>
  <c r="AK405" i="1"/>
  <c r="AJ405" i="1"/>
  <c r="AI405" i="1"/>
  <c r="AM405" i="1"/>
  <c r="AH405" i="1"/>
  <c r="AG405" i="1"/>
  <c r="AM274" i="1"/>
  <c r="AL274" i="1"/>
  <c r="AM282" i="1"/>
  <c r="AM289" i="1"/>
  <c r="AL289" i="1"/>
  <c r="AK289" i="1"/>
  <c r="AG289" i="1"/>
  <c r="O292" i="1"/>
  <c r="AK294" i="1"/>
  <c r="AJ294" i="1"/>
  <c r="AI294" i="1"/>
  <c r="AK297" i="1"/>
  <c r="Q307" i="1"/>
  <c r="O307" i="1"/>
  <c r="M307" i="1"/>
  <c r="U314" i="1"/>
  <c r="S314" i="1"/>
  <c r="Q314" i="1"/>
  <c r="K314" i="1"/>
  <c r="I314" i="1"/>
  <c r="AJ316" i="1"/>
  <c r="AI316" i="1"/>
  <c r="AH316" i="1"/>
  <c r="AM317" i="1"/>
  <c r="AL317" i="1"/>
  <c r="AI317" i="1"/>
  <c r="AH317" i="1"/>
  <c r="AJ319" i="1"/>
  <c r="AK319" i="1"/>
  <c r="AI319" i="1"/>
  <c r="AH319" i="1"/>
  <c r="V351" i="1"/>
  <c r="Z351" i="1"/>
  <c r="O351" i="1"/>
  <c r="M351" i="1"/>
  <c r="K351" i="1"/>
  <c r="I351" i="1"/>
  <c r="AI368" i="1"/>
  <c r="AH368" i="1"/>
  <c r="AG368" i="1"/>
  <c r="AM368" i="1"/>
  <c r="AL368" i="1"/>
  <c r="V386" i="1"/>
  <c r="U386" i="1"/>
  <c r="S386" i="1"/>
  <c r="Z386" i="1"/>
  <c r="M386" i="1"/>
  <c r="K386" i="1"/>
  <c r="I386" i="1"/>
  <c r="V392" i="1"/>
  <c r="U392" i="1"/>
  <c r="S392" i="1"/>
  <c r="Z392" i="1"/>
  <c r="Q392" i="1"/>
  <c r="O392" i="1"/>
  <c r="M392" i="1"/>
  <c r="O526" i="1"/>
  <c r="S526" i="1"/>
  <c r="Q526" i="1"/>
  <c r="M526" i="1"/>
  <c r="K526" i="1"/>
  <c r="U526" i="1"/>
  <c r="V526" i="1"/>
  <c r="I526" i="1"/>
  <c r="AJ566" i="1"/>
  <c r="AI566" i="1"/>
  <c r="AM566" i="1"/>
  <c r="AG566" i="1"/>
  <c r="AL566" i="1"/>
  <c r="AH566" i="1"/>
  <c r="AK566" i="1"/>
  <c r="AG274" i="1"/>
  <c r="S275" i="1"/>
  <c r="AJ279" i="1"/>
  <c r="AI279" i="1"/>
  <c r="AH289" i="1"/>
  <c r="V292" i="1"/>
  <c r="O293" i="1"/>
  <c r="AG294" i="1"/>
  <c r="AG316" i="1"/>
  <c r="AG317" i="1"/>
  <c r="AG319" i="1"/>
  <c r="I322" i="1"/>
  <c r="AH329" i="1"/>
  <c r="AL329" i="1"/>
  <c r="AK329" i="1"/>
  <c r="AJ329" i="1"/>
  <c r="AM344" i="1"/>
  <c r="O350" i="1"/>
  <c r="Z350" i="1"/>
  <c r="V350" i="1"/>
  <c r="Q350" i="1"/>
  <c r="M350" i="1"/>
  <c r="K350" i="1"/>
  <c r="AM354" i="1"/>
  <c r="V354" i="1"/>
  <c r="AJ368" i="1"/>
  <c r="Q414" i="1"/>
  <c r="U414" i="1"/>
  <c r="S414" i="1"/>
  <c r="O414" i="1"/>
  <c r="Z414" i="1"/>
  <c r="V414" i="1"/>
  <c r="M414" i="1"/>
  <c r="I414" i="1"/>
  <c r="K414" i="1"/>
  <c r="AK424" i="1"/>
  <c r="AJ424" i="1"/>
  <c r="AI424" i="1"/>
  <c r="AH424" i="1"/>
  <c r="AL424" i="1"/>
  <c r="AM424" i="1"/>
  <c r="AG424" i="1"/>
  <c r="AH452" i="1"/>
  <c r="AL452" i="1"/>
  <c r="AK452" i="1"/>
  <c r="AM452" i="1"/>
  <c r="AG452" i="1"/>
  <c r="AJ452" i="1"/>
  <c r="AL453" i="1"/>
  <c r="AI453" i="1"/>
  <c r="AJ453" i="1"/>
  <c r="AH453" i="1"/>
  <c r="AG453" i="1"/>
  <c r="AK453" i="1"/>
  <c r="I473" i="1"/>
  <c r="V473" i="1"/>
  <c r="U473" i="1"/>
  <c r="K473" i="1"/>
  <c r="S473" i="1"/>
  <c r="M473" i="1"/>
  <c r="AM244" i="1"/>
  <c r="AH274" i="1"/>
  <c r="U275" i="1"/>
  <c r="AM277" i="1"/>
  <c r="AH277" i="1"/>
  <c r="AI289" i="1"/>
  <c r="Q293" i="1"/>
  <c r="AH294" i="1"/>
  <c r="AJ311" i="1"/>
  <c r="AI311" i="1"/>
  <c r="AH311" i="1"/>
  <c r="M314" i="1"/>
  <c r="AK316" i="1"/>
  <c r="AJ317" i="1"/>
  <c r="AL319" i="1"/>
  <c r="Q335" i="1"/>
  <c r="Z335" i="1"/>
  <c r="V335" i="1"/>
  <c r="U335" i="1"/>
  <c r="M335" i="1"/>
  <c r="K335" i="1"/>
  <c r="I335" i="1"/>
  <c r="AM345" i="1"/>
  <c r="V345" i="1"/>
  <c r="Q351" i="1"/>
  <c r="AK368" i="1"/>
  <c r="AL376" i="1"/>
  <c r="AM376" i="1"/>
  <c r="AK376" i="1"/>
  <c r="AI376" i="1"/>
  <c r="AH376" i="1"/>
  <c r="AG376" i="1"/>
  <c r="O386" i="1"/>
  <c r="Z409" i="1"/>
  <c r="K409" i="1"/>
  <c r="I409" i="1"/>
  <c r="U409" i="1"/>
  <c r="S409" i="1"/>
  <c r="Q409" i="1"/>
  <c r="V409" i="1"/>
  <c r="O409" i="1"/>
  <c r="M409" i="1"/>
  <c r="AL414" i="1"/>
  <c r="AM414" i="1"/>
  <c r="AJ414" i="1"/>
  <c r="AI414" i="1"/>
  <c r="AH414" i="1"/>
  <c r="AG414" i="1"/>
  <c r="Q420" i="1"/>
  <c r="M420" i="1"/>
  <c r="K420" i="1"/>
  <c r="I420" i="1"/>
  <c r="V420" i="1"/>
  <c r="U420" i="1"/>
  <c r="AI452" i="1"/>
  <c r="AK471" i="1"/>
  <c r="AJ471" i="1"/>
  <c r="AI471" i="1"/>
  <c r="AM471" i="1"/>
  <c r="AL471" i="1"/>
  <c r="AH471" i="1"/>
  <c r="AK231" i="1"/>
  <c r="AJ244" i="1"/>
  <c r="AJ270" i="1"/>
  <c r="AM299" i="1"/>
  <c r="AL299" i="1"/>
  <c r="AK299" i="1"/>
  <c r="AG299" i="1"/>
  <c r="Z302" i="1"/>
  <c r="V302" i="1"/>
  <c r="U302" i="1"/>
  <c r="M302" i="1"/>
  <c r="I307" i="1"/>
  <c r="U322" i="1"/>
  <c r="S322" i="1"/>
  <c r="Q322" i="1"/>
  <c r="O322" i="1"/>
  <c r="AI326" i="1"/>
  <c r="AH326" i="1"/>
  <c r="AG326" i="1"/>
  <c r="Z333" i="1"/>
  <c r="V333" i="1"/>
  <c r="U333" i="1"/>
  <c r="O333" i="1"/>
  <c r="M333" i="1"/>
  <c r="K333" i="1"/>
  <c r="AJ337" i="1"/>
  <c r="AL337" i="1"/>
  <c r="AK337" i="1"/>
  <c r="AI337" i="1"/>
  <c r="AM340" i="1"/>
  <c r="AI340" i="1"/>
  <c r="AH340" i="1"/>
  <c r="AG340" i="1"/>
  <c r="AJ391" i="1"/>
  <c r="AI391" i="1"/>
  <c r="AH391" i="1"/>
  <c r="AM391" i="1"/>
  <c r="AL391" i="1"/>
  <c r="V397" i="1"/>
  <c r="U397" i="1"/>
  <c r="Q397" i="1"/>
  <c r="O397" i="1"/>
  <c r="M397" i="1"/>
  <c r="Z397" i="1"/>
  <c r="S397" i="1"/>
  <c r="K397" i="1"/>
  <c r="I397" i="1"/>
  <c r="Q423" i="1"/>
  <c r="V423" i="1"/>
  <c r="U423" i="1"/>
  <c r="S423" i="1"/>
  <c r="O423" i="1"/>
  <c r="M423" i="1"/>
  <c r="K423" i="1"/>
  <c r="I423" i="1"/>
  <c r="V456" i="1"/>
  <c r="S456" i="1"/>
  <c r="Q456" i="1"/>
  <c r="M456" i="1"/>
  <c r="K456" i="1"/>
  <c r="I456" i="1"/>
  <c r="U456" i="1"/>
  <c r="O456" i="1"/>
  <c r="AM314" i="1"/>
  <c r="AL314" i="1"/>
  <c r="AI314" i="1"/>
  <c r="AH314" i="1"/>
  <c r="AL335" i="1"/>
  <c r="AK335" i="1"/>
  <c r="AJ335" i="1"/>
  <c r="AI335" i="1"/>
  <c r="AK341" i="1"/>
  <c r="AJ341" i="1"/>
  <c r="AI341" i="1"/>
  <c r="AH341" i="1"/>
  <c r="AG341" i="1"/>
  <c r="AK342" i="1"/>
  <c r="AJ342" i="1"/>
  <c r="AI342" i="1"/>
  <c r="M347" i="1"/>
  <c r="S347" i="1"/>
  <c r="Q347" i="1"/>
  <c r="O347" i="1"/>
  <c r="K347" i="1"/>
  <c r="V358" i="1"/>
  <c r="AM358" i="1"/>
  <c r="K367" i="1"/>
  <c r="S367" i="1"/>
  <c r="Q367" i="1"/>
  <c r="O367" i="1"/>
  <c r="U367" i="1"/>
  <c r="M367" i="1"/>
  <c r="I367" i="1"/>
  <c r="AM378" i="1"/>
  <c r="Z415" i="1"/>
  <c r="O415" i="1"/>
  <c r="M415" i="1"/>
  <c r="K415" i="1"/>
  <c r="U415" i="1"/>
  <c r="S415" i="1"/>
  <c r="Q415" i="1"/>
  <c r="AL423" i="1"/>
  <c r="AG423" i="1"/>
  <c r="AM423" i="1"/>
  <c r="AJ423" i="1"/>
  <c r="AI423" i="1"/>
  <c r="AH423" i="1"/>
  <c r="V501" i="1"/>
  <c r="AM501" i="1"/>
  <c r="AJ516" i="1"/>
  <c r="AK516" i="1"/>
  <c r="AI516" i="1"/>
  <c r="AH516" i="1"/>
  <c r="AL516" i="1"/>
  <c r="AM516" i="1"/>
  <c r="AG516" i="1"/>
  <c r="K518" i="1"/>
  <c r="I518" i="1"/>
  <c r="S518" i="1"/>
  <c r="Q518" i="1"/>
  <c r="O518" i="1"/>
  <c r="M518" i="1"/>
  <c r="V518" i="1"/>
  <c r="U518" i="1"/>
  <c r="AM284" i="1"/>
  <c r="AL284" i="1"/>
  <c r="AG284" i="1"/>
  <c r="U292" i="1"/>
  <c r="S292" i="1"/>
  <c r="Q292" i="1"/>
  <c r="I292" i="1"/>
  <c r="AM297" i="1"/>
  <c r="AI297" i="1"/>
  <c r="V308" i="1"/>
  <c r="AM308" i="1"/>
  <c r="AG314" i="1"/>
  <c r="AG335" i="1"/>
  <c r="AL341" i="1"/>
  <c r="AG342" i="1"/>
  <c r="I347" i="1"/>
  <c r="S370" i="1"/>
  <c r="I370" i="1"/>
  <c r="K370" i="1"/>
  <c r="Z370" i="1"/>
  <c r="V370" i="1"/>
  <c r="U370" i="1"/>
  <c r="AL374" i="1"/>
  <c r="AM374" i="1"/>
  <c r="AK374" i="1"/>
  <c r="AJ374" i="1"/>
  <c r="AI374" i="1"/>
  <c r="AH374" i="1"/>
  <c r="O383" i="1"/>
  <c r="M383" i="1"/>
  <c r="K383" i="1"/>
  <c r="S383" i="1"/>
  <c r="Q383" i="1"/>
  <c r="I383" i="1"/>
  <c r="AM397" i="1"/>
  <c r="AK397" i="1"/>
  <c r="AJ397" i="1"/>
  <c r="AI397" i="1"/>
  <c r="Q405" i="1"/>
  <c r="M405" i="1"/>
  <c r="K405" i="1"/>
  <c r="I405" i="1"/>
  <c r="S405" i="1"/>
  <c r="O405" i="1"/>
  <c r="Z405" i="1"/>
  <c r="V405" i="1"/>
  <c r="U405" i="1"/>
  <c r="AK423" i="1"/>
  <c r="M478" i="1"/>
  <c r="K478" i="1"/>
  <c r="I478" i="1"/>
  <c r="S478" i="1"/>
  <c r="Q478" i="1"/>
  <c r="V478" i="1"/>
  <c r="U478" i="1"/>
  <c r="O478" i="1"/>
  <c r="AK331" i="1"/>
  <c r="AJ333" i="1"/>
  <c r="AJ344" i="1"/>
  <c r="S361" i="1"/>
  <c r="Q361" i="1"/>
  <c r="O361" i="1"/>
  <c r="M361" i="1"/>
  <c r="AM372" i="1"/>
  <c r="AJ372" i="1"/>
  <c r="AI372" i="1"/>
  <c r="AH372" i="1"/>
  <c r="U374" i="1"/>
  <c r="AL378" i="1"/>
  <c r="AH379" i="1"/>
  <c r="AK379" i="1"/>
  <c r="AJ379" i="1"/>
  <c r="AI379" i="1"/>
  <c r="O390" i="1"/>
  <c r="M390" i="1"/>
  <c r="U390" i="1"/>
  <c r="S390" i="1"/>
  <c r="Q390" i="1"/>
  <c r="O393" i="1"/>
  <c r="M393" i="1"/>
  <c r="I393" i="1"/>
  <c r="O396" i="1"/>
  <c r="M396" i="1"/>
  <c r="Z396" i="1"/>
  <c r="S399" i="1"/>
  <c r="AK404" i="1"/>
  <c r="I412" i="1"/>
  <c r="K416" i="1"/>
  <c r="I437" i="1"/>
  <c r="Z492" i="1"/>
  <c r="V492" i="1"/>
  <c r="U492" i="1"/>
  <c r="S492" i="1"/>
  <c r="I492" i="1"/>
  <c r="M492" i="1"/>
  <c r="K492" i="1"/>
  <c r="Q492" i="1"/>
  <c r="O577" i="1"/>
  <c r="M577" i="1"/>
  <c r="K577" i="1"/>
  <c r="V577" i="1"/>
  <c r="U577" i="1"/>
  <c r="S577" i="1"/>
  <c r="Q577" i="1"/>
  <c r="AG321" i="1"/>
  <c r="AG323" i="1"/>
  <c r="AL331" i="1"/>
  <c r="AK333" i="1"/>
  <c r="AM339" i="1"/>
  <c r="AK344" i="1"/>
  <c r="Q348" i="1"/>
  <c r="AL350" i="1"/>
  <c r="AG351" i="1"/>
  <c r="AG359" i="1"/>
  <c r="AK365" i="1"/>
  <c r="AM365" i="1"/>
  <c r="AL365" i="1"/>
  <c r="AG369" i="1"/>
  <c r="AG372" i="1"/>
  <c r="V374" i="1"/>
  <c r="AG379" i="1"/>
  <c r="AG383" i="1"/>
  <c r="AL383" i="1"/>
  <c r="AK383" i="1"/>
  <c r="AJ383" i="1"/>
  <c r="AM386" i="1"/>
  <c r="AK393" i="1"/>
  <c r="AJ393" i="1"/>
  <c r="AL393" i="1"/>
  <c r="AI393" i="1"/>
  <c r="AH393" i="1"/>
  <c r="AL404" i="1"/>
  <c r="Z406" i="1"/>
  <c r="V406" i="1"/>
  <c r="U406" i="1"/>
  <c r="K406" i="1"/>
  <c r="I406" i="1"/>
  <c r="I407" i="1"/>
  <c r="M407" i="1"/>
  <c r="K407" i="1"/>
  <c r="Q408" i="1"/>
  <c r="Z408" i="1"/>
  <c r="V408" i="1"/>
  <c r="U408" i="1"/>
  <c r="K412" i="1"/>
  <c r="M416" i="1"/>
  <c r="I422" i="1"/>
  <c r="K422" i="1"/>
  <c r="V422" i="1"/>
  <c r="U422" i="1"/>
  <c r="S422" i="1"/>
  <c r="O422" i="1"/>
  <c r="O437" i="1"/>
  <c r="V439" i="1"/>
  <c r="AM439" i="1"/>
  <c r="AM465" i="1"/>
  <c r="AH321" i="1"/>
  <c r="AI323" i="1"/>
  <c r="AM331" i="1"/>
  <c r="S348" i="1"/>
  <c r="AM350" i="1"/>
  <c r="AH351" i="1"/>
  <c r="AH359" i="1"/>
  <c r="I361" i="1"/>
  <c r="AH369" i="1"/>
  <c r="AK372" i="1"/>
  <c r="AL379" i="1"/>
  <c r="I390" i="1"/>
  <c r="K391" i="1"/>
  <c r="I396" i="1"/>
  <c r="AM400" i="1"/>
  <c r="Z403" i="1"/>
  <c r="O403" i="1"/>
  <c r="M403" i="1"/>
  <c r="K403" i="1"/>
  <c r="V403" i="1"/>
  <c r="I404" i="1"/>
  <c r="Z404" i="1"/>
  <c r="V404" i="1"/>
  <c r="U404" i="1"/>
  <c r="S404" i="1"/>
  <c r="Q404" i="1"/>
  <c r="AM404" i="1"/>
  <c r="I410" i="1"/>
  <c r="V410" i="1"/>
  <c r="U410" i="1"/>
  <c r="S410" i="1"/>
  <c r="O410" i="1"/>
  <c r="M410" i="1"/>
  <c r="K410" i="1"/>
  <c r="M411" i="1"/>
  <c r="V421" i="1"/>
  <c r="U421" i="1"/>
  <c r="AH422" i="1"/>
  <c r="AJ422" i="1"/>
  <c r="AI422" i="1"/>
  <c r="AG422" i="1"/>
  <c r="U448" i="1"/>
  <c r="Q448" i="1"/>
  <c r="O448" i="1"/>
  <c r="K448" i="1"/>
  <c r="I448" i="1"/>
  <c r="S448" i="1"/>
  <c r="M448" i="1"/>
  <c r="AM467" i="1"/>
  <c r="AL467" i="1"/>
  <c r="AJ467" i="1"/>
  <c r="AI467" i="1"/>
  <c r="AK484" i="1"/>
  <c r="AJ484" i="1"/>
  <c r="AH484" i="1"/>
  <c r="AM484" i="1"/>
  <c r="AG484" i="1"/>
  <c r="O492" i="1"/>
  <c r="V495" i="1"/>
  <c r="U495" i="1"/>
  <c r="S495" i="1"/>
  <c r="M495" i="1"/>
  <c r="K495" i="1"/>
  <c r="Q495" i="1"/>
  <c r="O495" i="1"/>
  <c r="I495" i="1"/>
  <c r="U530" i="1"/>
  <c r="M530" i="1"/>
  <c r="K530" i="1"/>
  <c r="V530" i="1"/>
  <c r="S530" i="1"/>
  <c r="O530" i="1"/>
  <c r="Q530" i="1"/>
  <c r="M321" i="1"/>
  <c r="AL321" i="1"/>
  <c r="AL323" i="1"/>
  <c r="AI330" i="1"/>
  <c r="AI332" i="1"/>
  <c r="AK351" i="1"/>
  <c r="AL359" i="1"/>
  <c r="V361" i="1"/>
  <c r="AJ367" i="1"/>
  <c r="AM367" i="1"/>
  <c r="AL369" i="1"/>
  <c r="O384" i="1"/>
  <c r="Z384" i="1"/>
  <c r="V384" i="1"/>
  <c r="AK385" i="1"/>
  <c r="AJ385" i="1"/>
  <c r="AI385" i="1"/>
  <c r="Z412" i="1"/>
  <c r="U412" i="1"/>
  <c r="S412" i="1"/>
  <c r="Q412" i="1"/>
  <c r="I416" i="1"/>
  <c r="S416" i="1"/>
  <c r="Q416" i="1"/>
  <c r="O416" i="1"/>
  <c r="AL418" i="1"/>
  <c r="AK418" i="1"/>
  <c r="AJ418" i="1"/>
  <c r="AH419" i="1"/>
  <c r="AM419" i="1"/>
  <c r="AL419" i="1"/>
  <c r="AJ419" i="1"/>
  <c r="M433" i="1"/>
  <c r="V433" i="1"/>
  <c r="U433" i="1"/>
  <c r="AM435" i="1"/>
  <c r="V435" i="1"/>
  <c r="U437" i="1"/>
  <c r="M437" i="1"/>
  <c r="K437" i="1"/>
  <c r="V437" i="1"/>
  <c r="U442" i="1"/>
  <c r="M442" i="1"/>
  <c r="K442" i="1"/>
  <c r="V442" i="1"/>
  <c r="S442" i="1"/>
  <c r="I442" i="1"/>
  <c r="O442" i="1"/>
  <c r="AJ451" i="1"/>
  <c r="AK451" i="1"/>
  <c r="AM451" i="1"/>
  <c r="AI451" i="1"/>
  <c r="K466" i="1"/>
  <c r="I466" i="1"/>
  <c r="V466" i="1"/>
  <c r="U466" i="1"/>
  <c r="Q466" i="1"/>
  <c r="O466" i="1"/>
  <c r="M466" i="1"/>
  <c r="AM472" i="1"/>
  <c r="AI472" i="1"/>
  <c r="AH472" i="1"/>
  <c r="AL472" i="1"/>
  <c r="AG472" i="1"/>
  <c r="AJ472" i="1"/>
  <c r="AM474" i="1"/>
  <c r="AH474" i="1"/>
  <c r="AK474" i="1"/>
  <c r="AJ474" i="1"/>
  <c r="AK282" i="1"/>
  <c r="AK301" i="1"/>
  <c r="AG303" i="1"/>
  <c r="AK304" i="1"/>
  <c r="AG306" i="1"/>
  <c r="O321" i="1"/>
  <c r="AM321" i="1"/>
  <c r="AM323" i="1"/>
  <c r="AG324" i="1"/>
  <c r="AJ330" i="1"/>
  <c r="AJ332" i="1"/>
  <c r="AJ345" i="1"/>
  <c r="AL347" i="1"/>
  <c r="M349" i="1"/>
  <c r="AK349" i="1"/>
  <c r="AL351" i="1"/>
  <c r="AJ352" i="1"/>
  <c r="AL352" i="1"/>
  <c r="AK354" i="1"/>
  <c r="U357" i="1"/>
  <c r="I357" i="1"/>
  <c r="AM359" i="1"/>
  <c r="Z361" i="1"/>
  <c r="AK363" i="1"/>
  <c r="AM363" i="1"/>
  <c r="AL363" i="1"/>
  <c r="AJ363" i="1"/>
  <c r="AG367" i="1"/>
  <c r="AM369" i="1"/>
  <c r="AL373" i="1"/>
  <c r="AJ384" i="1"/>
  <c r="AG385" i="1"/>
  <c r="S391" i="1"/>
  <c r="K393" i="1"/>
  <c r="U396" i="1"/>
  <c r="AJ400" i="1"/>
  <c r="S403" i="1"/>
  <c r="O404" i="1"/>
  <c r="V411" i="1"/>
  <c r="AG418" i="1"/>
  <c r="AG419" i="1"/>
  <c r="AG442" i="1"/>
  <c r="AJ442" i="1"/>
  <c r="AG451" i="1"/>
  <c r="V464" i="1"/>
  <c r="K464" i="1"/>
  <c r="AK472" i="1"/>
  <c r="AG474" i="1"/>
  <c r="S487" i="1"/>
  <c r="Q487" i="1"/>
  <c r="O487" i="1"/>
  <c r="M487" i="1"/>
  <c r="K487" i="1"/>
  <c r="I487" i="1"/>
  <c r="V487" i="1"/>
  <c r="U487" i="1"/>
  <c r="Q494" i="1"/>
  <c r="O494" i="1"/>
  <c r="M494" i="1"/>
  <c r="K494" i="1"/>
  <c r="I494" i="1"/>
  <c r="S494" i="1"/>
  <c r="I500" i="1"/>
  <c r="Q502" i="1"/>
  <c r="O502" i="1"/>
  <c r="M502" i="1"/>
  <c r="S502" i="1"/>
  <c r="K502" i="1"/>
  <c r="I502" i="1"/>
  <c r="U502" i="1"/>
  <c r="I511" i="1"/>
  <c r="S511" i="1"/>
  <c r="Q511" i="1"/>
  <c r="O511" i="1"/>
  <c r="V511" i="1"/>
  <c r="U511" i="1"/>
  <c r="M511" i="1"/>
  <c r="K511" i="1"/>
  <c r="Q321" i="1"/>
  <c r="AK332" i="1"/>
  <c r="AL345" i="1"/>
  <c r="AM347" i="1"/>
  <c r="AL349" i="1"/>
  <c r="AL354" i="1"/>
  <c r="AH367" i="1"/>
  <c r="AM373" i="1"/>
  <c r="AH381" i="1"/>
  <c r="AL381" i="1"/>
  <c r="AK381" i="1"/>
  <c r="AJ381" i="1"/>
  <c r="I384" i="1"/>
  <c r="AL384" i="1"/>
  <c r="AH385" i="1"/>
  <c r="AK390" i="1"/>
  <c r="AJ390" i="1"/>
  <c r="Q393" i="1"/>
  <c r="V396" i="1"/>
  <c r="AK400" i="1"/>
  <c r="AG401" i="1"/>
  <c r="AM401" i="1"/>
  <c r="AK401" i="1"/>
  <c r="AJ401" i="1"/>
  <c r="AI401" i="1"/>
  <c r="U403" i="1"/>
  <c r="AH410" i="1"/>
  <c r="AM410" i="1"/>
  <c r="AH418" i="1"/>
  <c r="AI419" i="1"/>
  <c r="I421" i="1"/>
  <c r="AJ427" i="1"/>
  <c r="AM427" i="1"/>
  <c r="AL427" i="1"/>
  <c r="AK427" i="1"/>
  <c r="AH427" i="1"/>
  <c r="I433" i="1"/>
  <c r="U434" i="1"/>
  <c r="K434" i="1"/>
  <c r="M434" i="1"/>
  <c r="I434" i="1"/>
  <c r="V434" i="1"/>
  <c r="Q434" i="1"/>
  <c r="AH442" i="1"/>
  <c r="V449" i="1"/>
  <c r="AL451" i="1"/>
  <c r="Q458" i="1"/>
  <c r="O458" i="1"/>
  <c r="V458" i="1"/>
  <c r="U458" i="1"/>
  <c r="S466" i="1"/>
  <c r="AI474" i="1"/>
  <c r="Q480" i="1"/>
  <c r="I480" i="1"/>
  <c r="O480" i="1"/>
  <c r="S480" i="1"/>
  <c r="K480" i="1"/>
  <c r="V485" i="1"/>
  <c r="U485" i="1"/>
  <c r="I485" i="1"/>
  <c r="Q485" i="1"/>
  <c r="O485" i="1"/>
  <c r="K485" i="1"/>
  <c r="S485" i="1"/>
  <c r="V522" i="1"/>
  <c r="M522" i="1"/>
  <c r="K522" i="1"/>
  <c r="I522" i="1"/>
  <c r="U522" i="1"/>
  <c r="S522" i="1"/>
  <c r="AM361" i="1"/>
  <c r="AL361" i="1"/>
  <c r="AK361" i="1"/>
  <c r="AI367" i="1"/>
  <c r="O374" i="1"/>
  <c r="M374" i="1"/>
  <c r="K374" i="1"/>
  <c r="I374" i="1"/>
  <c r="K384" i="1"/>
  <c r="AL385" i="1"/>
  <c r="V391" i="1"/>
  <c r="U391" i="1"/>
  <c r="I391" i="1"/>
  <c r="Q399" i="1"/>
  <c r="O399" i="1"/>
  <c r="M399" i="1"/>
  <c r="Z399" i="1"/>
  <c r="V399" i="1"/>
  <c r="Z400" i="1"/>
  <c r="V400" i="1"/>
  <c r="U400" i="1"/>
  <c r="Q400" i="1"/>
  <c r="O400" i="1"/>
  <c r="M400" i="1"/>
  <c r="AL406" i="1"/>
  <c r="AK406" i="1"/>
  <c r="AJ406" i="1"/>
  <c r="Q411" i="1"/>
  <c r="I411" i="1"/>
  <c r="K411" i="1"/>
  <c r="AI418" i="1"/>
  <c r="AK419" i="1"/>
  <c r="AM426" i="1"/>
  <c r="AK426" i="1"/>
  <c r="K433" i="1"/>
  <c r="M445" i="1"/>
  <c r="I445" i="1"/>
  <c r="U445" i="1"/>
  <c r="S445" i="1"/>
  <c r="Q445" i="1"/>
  <c r="O445" i="1"/>
  <c r="V459" i="1"/>
  <c r="S459" i="1"/>
  <c r="K459" i="1"/>
  <c r="I459" i="1"/>
  <c r="U459" i="1"/>
  <c r="O459" i="1"/>
  <c r="I461" i="1"/>
  <c r="O461" i="1"/>
  <c r="M468" i="1"/>
  <c r="O468" i="1"/>
  <c r="K468" i="1"/>
  <c r="I468" i="1"/>
  <c r="V468" i="1"/>
  <c r="S468" i="1"/>
  <c r="Q468" i="1"/>
  <c r="AM476" i="1"/>
  <c r="AL476" i="1"/>
  <c r="AK476" i="1"/>
  <c r="AI476" i="1"/>
  <c r="AH476" i="1"/>
  <c r="AJ476" i="1"/>
  <c r="AG476" i="1"/>
  <c r="U500" i="1"/>
  <c r="S500" i="1"/>
  <c r="Q500" i="1"/>
  <c r="V500" i="1"/>
  <c r="M500" i="1"/>
  <c r="K500" i="1"/>
  <c r="V505" i="1"/>
  <c r="U505" i="1"/>
  <c r="S505" i="1"/>
  <c r="Q505" i="1"/>
  <c r="K505" i="1"/>
  <c r="O505" i="1"/>
  <c r="M505" i="1"/>
  <c r="M509" i="1"/>
  <c r="Q509" i="1"/>
  <c r="O509" i="1"/>
  <c r="K509" i="1"/>
  <c r="V509" i="1"/>
  <c r="U509" i="1"/>
  <c r="S509" i="1"/>
  <c r="I509" i="1"/>
  <c r="AH533" i="1"/>
  <c r="AM533" i="1"/>
  <c r="AL533" i="1"/>
  <c r="AK533" i="1"/>
  <c r="AJ533" i="1"/>
  <c r="AG533" i="1"/>
  <c r="AL561" i="1"/>
  <c r="AJ561" i="1"/>
  <c r="AM561" i="1"/>
  <c r="AK561" i="1"/>
  <c r="AI561" i="1"/>
  <c r="AL411" i="1"/>
  <c r="AI411" i="1"/>
  <c r="AH411" i="1"/>
  <c r="AG411" i="1"/>
  <c r="AM412" i="1"/>
  <c r="AH416" i="1"/>
  <c r="AM416" i="1"/>
  <c r="AL416" i="1"/>
  <c r="AL420" i="1"/>
  <c r="AK420" i="1"/>
  <c r="AJ420" i="1"/>
  <c r="AI420" i="1"/>
  <c r="S429" i="1"/>
  <c r="U429" i="1"/>
  <c r="Q429" i="1"/>
  <c r="O429" i="1"/>
  <c r="I457" i="1"/>
  <c r="O457" i="1"/>
  <c r="U465" i="1"/>
  <c r="S465" i="1"/>
  <c r="I465" i="1"/>
  <c r="O465" i="1"/>
  <c r="M465" i="1"/>
  <c r="K465" i="1"/>
  <c r="AM479" i="1"/>
  <c r="AL479" i="1"/>
  <c r="AK479" i="1"/>
  <c r="AJ479" i="1"/>
  <c r="AG479" i="1"/>
  <c r="V481" i="1"/>
  <c r="U481" i="1"/>
  <c r="S481" i="1"/>
  <c r="K481" i="1"/>
  <c r="M481" i="1"/>
  <c r="I481" i="1"/>
  <c r="O489" i="1"/>
  <c r="M489" i="1"/>
  <c r="V489" i="1"/>
  <c r="U489" i="1"/>
  <c r="S489" i="1"/>
  <c r="K489" i="1"/>
  <c r="I489" i="1"/>
  <c r="M520" i="1"/>
  <c r="K520" i="1"/>
  <c r="I520" i="1"/>
  <c r="U520" i="1"/>
  <c r="S520" i="1"/>
  <c r="Q520" i="1"/>
  <c r="O520" i="1"/>
  <c r="AL522" i="1"/>
  <c r="AK522" i="1"/>
  <c r="AJ522" i="1"/>
  <c r="AH522" i="1"/>
  <c r="AM522" i="1"/>
  <c r="AI522" i="1"/>
  <c r="AG522" i="1"/>
  <c r="AK411" i="1"/>
  <c r="AH412" i="1"/>
  <c r="AI416" i="1"/>
  <c r="AH420" i="1"/>
  <c r="I425" i="1"/>
  <c r="V425" i="1"/>
  <c r="U425" i="1"/>
  <c r="M427" i="1"/>
  <c r="Q427" i="1"/>
  <c r="O427" i="1"/>
  <c r="K427" i="1"/>
  <c r="U428" i="1"/>
  <c r="K428" i="1"/>
  <c r="U454" i="1"/>
  <c r="M454" i="1"/>
  <c r="K454" i="1"/>
  <c r="Q454" i="1"/>
  <c r="Q465" i="1"/>
  <c r="AI473" i="1"/>
  <c r="AH473" i="1"/>
  <c r="AG473" i="1"/>
  <c r="AK473" i="1"/>
  <c r="AJ473" i="1"/>
  <c r="U476" i="1"/>
  <c r="AI479" i="1"/>
  <c r="O481" i="1"/>
  <c r="AK485" i="1"/>
  <c r="AJ485" i="1"/>
  <c r="AI485" i="1"/>
  <c r="AG485" i="1"/>
  <c r="AM485" i="1"/>
  <c r="AL485" i="1"/>
  <c r="Q489" i="1"/>
  <c r="K491" i="1"/>
  <c r="I491" i="1"/>
  <c r="V491" i="1"/>
  <c r="U491" i="1"/>
  <c r="S491" i="1"/>
  <c r="M491" i="1"/>
  <c r="V520" i="1"/>
  <c r="AG366" i="1"/>
  <c r="Q402" i="1"/>
  <c r="Z402" i="1"/>
  <c r="AH407" i="1"/>
  <c r="AK407" i="1"/>
  <c r="AJ407" i="1"/>
  <c r="AI407" i="1"/>
  <c r="AM411" i="1"/>
  <c r="AI412" i="1"/>
  <c r="Z413" i="1"/>
  <c r="AJ416" i="1"/>
  <c r="AM420" i="1"/>
  <c r="AG421" i="1"/>
  <c r="V426" i="1"/>
  <c r="M426" i="1"/>
  <c r="U426" i="1"/>
  <c r="S426" i="1"/>
  <c r="Q426" i="1"/>
  <c r="AG433" i="1"/>
  <c r="Q444" i="1"/>
  <c r="O444" i="1"/>
  <c r="S444" i="1"/>
  <c r="M444" i="1"/>
  <c r="K444" i="1"/>
  <c r="V465" i="1"/>
  <c r="AL473" i="1"/>
  <c r="Q481" i="1"/>
  <c r="AH485" i="1"/>
  <c r="V503" i="1"/>
  <c r="K503" i="1"/>
  <c r="I503" i="1"/>
  <c r="O503" i="1"/>
  <c r="M503" i="1"/>
  <c r="U503" i="1"/>
  <c r="S503" i="1"/>
  <c r="M504" i="1"/>
  <c r="K504" i="1"/>
  <c r="I504" i="1"/>
  <c r="Q504" i="1"/>
  <c r="V504" i="1"/>
  <c r="O504" i="1"/>
  <c r="S524" i="1"/>
  <c r="O524" i="1"/>
  <c r="M524" i="1"/>
  <c r="K524" i="1"/>
  <c r="V524" i="1"/>
  <c r="I524" i="1"/>
  <c r="U524" i="1"/>
  <c r="Q524" i="1"/>
  <c r="AK396" i="1"/>
  <c r="AJ396" i="1"/>
  <c r="AL403" i="1"/>
  <c r="AK403" i="1"/>
  <c r="AJ403" i="1"/>
  <c r="AG407" i="1"/>
  <c r="AG408" i="1"/>
  <c r="AJ412" i="1"/>
  <c r="AK416" i="1"/>
  <c r="K425" i="1"/>
  <c r="I427" i="1"/>
  <c r="I428" i="1"/>
  <c r="AH433" i="1"/>
  <c r="AM438" i="1"/>
  <c r="V438" i="1"/>
  <c r="U443" i="1"/>
  <c r="M443" i="1"/>
  <c r="V443" i="1"/>
  <c r="S443" i="1"/>
  <c r="K443" i="1"/>
  <c r="AL461" i="1"/>
  <c r="AK461" i="1"/>
  <c r="AH461" i="1"/>
  <c r="AG461" i="1"/>
  <c r="AJ461" i="1"/>
  <c r="V472" i="1"/>
  <c r="U472" i="1"/>
  <c r="S472" i="1"/>
  <c r="K472" i="1"/>
  <c r="AM473" i="1"/>
  <c r="Q476" i="1"/>
  <c r="O476" i="1"/>
  <c r="M476" i="1"/>
  <c r="K476" i="1"/>
  <c r="I476" i="1"/>
  <c r="K484" i="1"/>
  <c r="I484" i="1"/>
  <c r="Q484" i="1"/>
  <c r="O484" i="1"/>
  <c r="M484" i="1"/>
  <c r="U484" i="1"/>
  <c r="S484" i="1"/>
  <c r="I486" i="1"/>
  <c r="V486" i="1"/>
  <c r="U486" i="1"/>
  <c r="O486" i="1"/>
  <c r="M486" i="1"/>
  <c r="S486" i="1"/>
  <c r="Q486" i="1"/>
  <c r="K486" i="1"/>
  <c r="AL489" i="1"/>
  <c r="AK489" i="1"/>
  <c r="AI489" i="1"/>
  <c r="AH489" i="1"/>
  <c r="AM489" i="1"/>
  <c r="K499" i="1"/>
  <c r="I499" i="1"/>
  <c r="U499" i="1"/>
  <c r="S499" i="1"/>
  <c r="V499" i="1"/>
  <c r="Q499" i="1"/>
  <c r="O499" i="1"/>
  <c r="AI517" i="1"/>
  <c r="AH517" i="1"/>
  <c r="AJ517" i="1"/>
  <c r="AL517" i="1"/>
  <c r="AK517" i="1"/>
  <c r="AM529" i="1"/>
  <c r="AG529" i="1"/>
  <c r="AK529" i="1"/>
  <c r="AJ529" i="1"/>
  <c r="AH529" i="1"/>
  <c r="V463" i="1"/>
  <c r="K463" i="1"/>
  <c r="K516" i="1"/>
  <c r="I516" i="1"/>
  <c r="S516" i="1"/>
  <c r="Q516" i="1"/>
  <c r="U516" i="1"/>
  <c r="O516" i="1"/>
  <c r="M516" i="1"/>
  <c r="V516" i="1"/>
  <c r="M496" i="1"/>
  <c r="K496" i="1"/>
  <c r="I496" i="1"/>
  <c r="Q496" i="1"/>
  <c r="O496" i="1"/>
  <c r="V496" i="1"/>
  <c r="AL497" i="1"/>
  <c r="AK497" i="1"/>
  <c r="AJ497" i="1"/>
  <c r="S507" i="1"/>
  <c r="Q507" i="1"/>
  <c r="O507" i="1"/>
  <c r="I507" i="1"/>
  <c r="K507" i="1"/>
  <c r="V562" i="1"/>
  <c r="AM562" i="1"/>
  <c r="I447" i="1"/>
  <c r="K447" i="1"/>
  <c r="AM448" i="1"/>
  <c r="AL448" i="1"/>
  <c r="AK448" i="1"/>
  <c r="S451" i="1"/>
  <c r="V451" i="1"/>
  <c r="M455" i="1"/>
  <c r="K455" i="1"/>
  <c r="AM469" i="1"/>
  <c r="AL469" i="1"/>
  <c r="AK469" i="1"/>
  <c r="AI469" i="1"/>
  <c r="M471" i="1"/>
  <c r="K471" i="1"/>
  <c r="I471" i="1"/>
  <c r="S471" i="1"/>
  <c r="AM480" i="1"/>
  <c r="AJ480" i="1"/>
  <c r="AI480" i="1"/>
  <c r="AH480" i="1"/>
  <c r="AL480" i="1"/>
  <c r="AK480" i="1"/>
  <c r="AL482" i="1"/>
  <c r="AK482" i="1"/>
  <c r="AJ482" i="1"/>
  <c r="AI482" i="1"/>
  <c r="AH482" i="1"/>
  <c r="V490" i="1"/>
  <c r="M490" i="1"/>
  <c r="K490" i="1"/>
  <c r="I490" i="1"/>
  <c r="AK496" i="1"/>
  <c r="AJ496" i="1"/>
  <c r="AI496" i="1"/>
  <c r="AG497" i="1"/>
  <c r="S554" i="1"/>
  <c r="M554" i="1"/>
  <c r="K554" i="1"/>
  <c r="I554" i="1"/>
  <c r="V554" i="1"/>
  <c r="U554" i="1"/>
  <c r="O554" i="1"/>
  <c r="Q554" i="1"/>
  <c r="AL565" i="1"/>
  <c r="AK565" i="1"/>
  <c r="AJ565" i="1"/>
  <c r="AG565" i="1"/>
  <c r="AH565" i="1"/>
  <c r="AM565" i="1"/>
  <c r="AJ434" i="1"/>
  <c r="K436" i="1"/>
  <c r="AJ437" i="1"/>
  <c r="AI437" i="1"/>
  <c r="O447" i="1"/>
  <c r="AI448" i="1"/>
  <c r="K451" i="1"/>
  <c r="U452" i="1"/>
  <c r="M452" i="1"/>
  <c r="K452" i="1"/>
  <c r="O455" i="1"/>
  <c r="AJ459" i="1"/>
  <c r="AI459" i="1"/>
  <c r="AJ460" i="1"/>
  <c r="AH460" i="1"/>
  <c r="AJ469" i="1"/>
  <c r="S474" i="1"/>
  <c r="Q474" i="1"/>
  <c r="O474" i="1"/>
  <c r="U474" i="1"/>
  <c r="M474" i="1"/>
  <c r="Q490" i="1"/>
  <c r="AL496" i="1"/>
  <c r="AM497" i="1"/>
  <c r="I506" i="1"/>
  <c r="Q506" i="1"/>
  <c r="O506" i="1"/>
  <c r="M506" i="1"/>
  <c r="AL514" i="1"/>
  <c r="AJ514" i="1"/>
  <c r="AI514" i="1"/>
  <c r="AH514" i="1"/>
  <c r="AH515" i="1"/>
  <c r="AG515" i="1"/>
  <c r="AM515" i="1"/>
  <c r="AK521" i="1"/>
  <c r="AI521" i="1"/>
  <c r="AH521" i="1"/>
  <c r="AM521" i="1"/>
  <c r="AL521" i="1"/>
  <c r="AG398" i="1"/>
  <c r="AG413" i="1"/>
  <c r="AG415" i="1"/>
  <c r="AG430" i="1"/>
  <c r="AK434" i="1"/>
  <c r="O436" i="1"/>
  <c r="AG437" i="1"/>
  <c r="AJ440" i="1"/>
  <c r="AI440" i="1"/>
  <c r="AM445" i="1"/>
  <c r="AL445" i="1"/>
  <c r="Q447" i="1"/>
  <c r="AJ448" i="1"/>
  <c r="M451" i="1"/>
  <c r="Q453" i="1"/>
  <c r="I453" i="1"/>
  <c r="Q455" i="1"/>
  <c r="AG459" i="1"/>
  <c r="AK460" i="1"/>
  <c r="V470" i="1"/>
  <c r="Q470" i="1"/>
  <c r="O470" i="1"/>
  <c r="S490" i="1"/>
  <c r="AL492" i="1"/>
  <c r="AH492" i="1"/>
  <c r="AG492" i="1"/>
  <c r="AM496" i="1"/>
  <c r="AG514" i="1"/>
  <c r="AI515" i="1"/>
  <c r="AM519" i="1"/>
  <c r="AI519" i="1"/>
  <c r="AH519" i="1"/>
  <c r="AK519" i="1"/>
  <c r="AG521" i="1"/>
  <c r="V583" i="1"/>
  <c r="AI413" i="1"/>
  <c r="AG417" i="1"/>
  <c r="AG428" i="1"/>
  <c r="AH430" i="1"/>
  <c r="AL434" i="1"/>
  <c r="Q436" i="1"/>
  <c r="AH437" i="1"/>
  <c r="U438" i="1"/>
  <c r="S438" i="1"/>
  <c r="AG440" i="1"/>
  <c r="Q441" i="1"/>
  <c r="V441" i="1"/>
  <c r="U441" i="1"/>
  <c r="AJ445" i="1"/>
  <c r="S447" i="1"/>
  <c r="AG449" i="1"/>
  <c r="O451" i="1"/>
  <c r="I452" i="1"/>
  <c r="S455" i="1"/>
  <c r="AH459" i="1"/>
  <c r="AL460" i="1"/>
  <c r="Q469" i="1"/>
  <c r="O469" i="1"/>
  <c r="M469" i="1"/>
  <c r="V469" i="1"/>
  <c r="I474" i="1"/>
  <c r="V479" i="1"/>
  <c r="U479" i="1"/>
  <c r="S479" i="1"/>
  <c r="K479" i="1"/>
  <c r="I479" i="1"/>
  <c r="I488" i="1"/>
  <c r="U488" i="1"/>
  <c r="M488" i="1"/>
  <c r="K488" i="1"/>
  <c r="U490" i="1"/>
  <c r="AI492" i="1"/>
  <c r="U513" i="1"/>
  <c r="S513" i="1"/>
  <c r="Q513" i="1"/>
  <c r="O513" i="1"/>
  <c r="M513" i="1"/>
  <c r="K513" i="1"/>
  <c r="AK514" i="1"/>
  <c r="AJ515" i="1"/>
  <c r="AH518" i="1"/>
  <c r="AK518" i="1"/>
  <c r="AJ518" i="1"/>
  <c r="AI518" i="1"/>
  <c r="AM518" i="1"/>
  <c r="AG519" i="1"/>
  <c r="AJ521" i="1"/>
  <c r="O528" i="1"/>
  <c r="V528" i="1"/>
  <c r="U528" i="1"/>
  <c r="S528" i="1"/>
  <c r="Q528" i="1"/>
  <c r="M528" i="1"/>
  <c r="K528" i="1"/>
  <c r="I574" i="1"/>
  <c r="V574" i="1"/>
  <c r="U574" i="1"/>
  <c r="S574" i="1"/>
  <c r="Q574" i="1"/>
  <c r="O574" i="1"/>
  <c r="M574" i="1"/>
  <c r="K574" i="1"/>
  <c r="I580" i="1"/>
  <c r="V580" i="1"/>
  <c r="U580" i="1"/>
  <c r="S580" i="1"/>
  <c r="O580" i="1"/>
  <c r="M580" i="1"/>
  <c r="K580" i="1"/>
  <c r="Q580" i="1"/>
  <c r="AI506" i="1"/>
  <c r="AH506" i="1"/>
  <c r="AG506" i="1"/>
  <c r="AH457" i="1"/>
  <c r="AG457" i="1"/>
  <c r="AI462" i="1"/>
  <c r="AH462" i="1"/>
  <c r="AJ506" i="1"/>
  <c r="S512" i="1"/>
  <c r="O512" i="1"/>
  <c r="Q512" i="1"/>
  <c r="M512" i="1"/>
  <c r="K512" i="1"/>
  <c r="AM556" i="1"/>
  <c r="AL556" i="1"/>
  <c r="AK556" i="1"/>
  <c r="AJ556" i="1"/>
  <c r="S563" i="1"/>
  <c r="O563" i="1"/>
  <c r="U563" i="1"/>
  <c r="Q563" i="1"/>
  <c r="M563" i="1"/>
  <c r="V563" i="1"/>
  <c r="I586" i="1"/>
  <c r="V586" i="1"/>
  <c r="U586" i="1"/>
  <c r="S586" i="1"/>
  <c r="M586" i="1"/>
  <c r="K586" i="1"/>
  <c r="O586" i="1"/>
  <c r="AG443" i="1"/>
  <c r="AL455" i="1"/>
  <c r="AK455" i="1"/>
  <c r="AI457" i="1"/>
  <c r="AG462" i="1"/>
  <c r="AG465" i="1"/>
  <c r="M482" i="1"/>
  <c r="I482" i="1"/>
  <c r="AK506" i="1"/>
  <c r="AI512" i="1"/>
  <c r="AH512" i="1"/>
  <c r="AG512" i="1"/>
  <c r="AM512" i="1"/>
  <c r="AL447" i="1"/>
  <c r="AM455" i="1"/>
  <c r="AM457" i="1"/>
  <c r="AK478" i="1"/>
  <c r="AJ478" i="1"/>
  <c r="AI478" i="1"/>
  <c r="V483" i="1"/>
  <c r="U483" i="1"/>
  <c r="AI486" i="1"/>
  <c r="AH486" i="1"/>
  <c r="AM487" i="1"/>
  <c r="AL487" i="1"/>
  <c r="V497" i="1"/>
  <c r="U497" i="1"/>
  <c r="S497" i="1"/>
  <c r="I497" i="1"/>
  <c r="AM502" i="1"/>
  <c r="AL502" i="1"/>
  <c r="AK502" i="1"/>
  <c r="I508" i="1"/>
  <c r="O514" i="1"/>
  <c r="I514" i="1"/>
  <c r="S514" i="1"/>
  <c r="Q514" i="1"/>
  <c r="U514" i="1"/>
  <c r="M514" i="1"/>
  <c r="K514" i="1"/>
  <c r="AI574" i="1"/>
  <c r="AH574" i="1"/>
  <c r="AG574" i="1"/>
  <c r="AM574" i="1"/>
  <c r="AL574" i="1"/>
  <c r="AK574" i="1"/>
  <c r="O583" i="1"/>
  <c r="M583" i="1"/>
  <c r="K583" i="1"/>
  <c r="U583" i="1"/>
  <c r="S583" i="1"/>
  <c r="Q583" i="1"/>
  <c r="I583" i="1"/>
  <c r="S587" i="1"/>
  <c r="Q587" i="1"/>
  <c r="O587" i="1"/>
  <c r="I587" i="1"/>
  <c r="U587" i="1"/>
  <c r="M587" i="1"/>
  <c r="K587" i="1"/>
  <c r="V564" i="1"/>
  <c r="AM564" i="1"/>
  <c r="AM524" i="1"/>
  <c r="AL524" i="1"/>
  <c r="AK524" i="1"/>
  <c r="O532" i="1"/>
  <c r="S532" i="1"/>
  <c r="Q532" i="1"/>
  <c r="M532" i="1"/>
  <c r="AI553" i="1"/>
  <c r="AK553" i="1"/>
  <c r="AH553" i="1"/>
  <c r="AG553" i="1"/>
  <c r="U568" i="1"/>
  <c r="S568" i="1"/>
  <c r="Q568" i="1"/>
  <c r="I568" i="1"/>
  <c r="V568" i="1"/>
  <c r="O568" i="1"/>
  <c r="AI580" i="1"/>
  <c r="AH580" i="1"/>
  <c r="AG580" i="1"/>
  <c r="AL580" i="1"/>
  <c r="AK580" i="1"/>
  <c r="AJ580" i="1"/>
  <c r="AM592" i="1"/>
  <c r="V592" i="1"/>
  <c r="AK491" i="1"/>
  <c r="AJ491" i="1"/>
  <c r="AM494" i="1"/>
  <c r="AL494" i="1"/>
  <c r="AK494" i="1"/>
  <c r="AM500" i="1"/>
  <c r="AL500" i="1"/>
  <c r="I523" i="1"/>
  <c r="V523" i="1"/>
  <c r="K523" i="1"/>
  <c r="AI524" i="1"/>
  <c r="V532" i="1"/>
  <c r="AM553" i="1"/>
  <c r="S581" i="1"/>
  <c r="Q581" i="1"/>
  <c r="O581" i="1"/>
  <c r="I581" i="1"/>
  <c r="V581" i="1"/>
  <c r="U581" i="1"/>
  <c r="M581" i="1"/>
  <c r="K581" i="1"/>
  <c r="V584" i="1"/>
  <c r="AM584" i="1"/>
  <c r="AK585" i="1"/>
  <c r="AJ585" i="1"/>
  <c r="AI585" i="1"/>
  <c r="AM585" i="1"/>
  <c r="AM587" i="1"/>
  <c r="AL587" i="1"/>
  <c r="AI587" i="1"/>
  <c r="AH587" i="1"/>
  <c r="AG587" i="1"/>
  <c r="AK587" i="1"/>
  <c r="AJ587" i="1"/>
  <c r="AG468" i="1"/>
  <c r="AG475" i="1"/>
  <c r="AG491" i="1"/>
  <c r="AG494" i="1"/>
  <c r="AK504" i="1"/>
  <c r="AJ504" i="1"/>
  <c r="AI504" i="1"/>
  <c r="AJ524" i="1"/>
  <c r="U567" i="1"/>
  <c r="S567" i="1"/>
  <c r="K567" i="1"/>
  <c r="I567" i="1"/>
  <c r="V567" i="1"/>
  <c r="Q567" i="1"/>
  <c r="AM581" i="1"/>
  <c r="AL581" i="1"/>
  <c r="AI581" i="1"/>
  <c r="AH581" i="1"/>
  <c r="AG581" i="1"/>
  <c r="AK581" i="1"/>
  <c r="AL585" i="1"/>
  <c r="AH491" i="1"/>
  <c r="AH494" i="1"/>
  <c r="AH500" i="1"/>
  <c r="AG504" i="1"/>
  <c r="AK509" i="1"/>
  <c r="AM509" i="1"/>
  <c r="AL509" i="1"/>
  <c r="V510" i="1"/>
  <c r="M510" i="1"/>
  <c r="M523" i="1"/>
  <c r="M572" i="1"/>
  <c r="K572" i="1"/>
  <c r="I572" i="1"/>
  <c r="V572" i="1"/>
  <c r="S572" i="1"/>
  <c r="Q572" i="1"/>
  <c r="O572" i="1"/>
  <c r="V573" i="1"/>
  <c r="U573" i="1"/>
  <c r="S573" i="1"/>
  <c r="M573" i="1"/>
  <c r="K573" i="1"/>
  <c r="I573" i="1"/>
  <c r="O573" i="1"/>
  <c r="AM575" i="1"/>
  <c r="AL575" i="1"/>
  <c r="AI575" i="1"/>
  <c r="AH575" i="1"/>
  <c r="AG575" i="1"/>
  <c r="AJ581" i="1"/>
  <c r="AK573" i="1"/>
  <c r="AJ573" i="1"/>
  <c r="AI573" i="1"/>
  <c r="AL573" i="1"/>
  <c r="AH573" i="1"/>
  <c r="AG573" i="1"/>
  <c r="U569" i="1"/>
  <c r="V590" i="1"/>
  <c r="AM590" i="1"/>
  <c r="AL594" i="1"/>
  <c r="AK594" i="1"/>
  <c r="AJ594" i="1"/>
  <c r="AH513" i="1"/>
  <c r="AL527" i="1"/>
  <c r="V529" i="1"/>
  <c r="K531" i="1"/>
  <c r="AJ557" i="1"/>
  <c r="O564" i="1"/>
  <c r="M564" i="1"/>
  <c r="O593" i="1"/>
  <c r="M593" i="1"/>
  <c r="K593" i="1"/>
  <c r="AG594" i="1"/>
  <c r="Q569" i="1"/>
  <c r="O569" i="1"/>
  <c r="M569" i="1"/>
  <c r="AL558" i="1"/>
  <c r="AJ558" i="1"/>
  <c r="AJ567" i="1"/>
  <c r="AI567" i="1"/>
  <c r="AH567" i="1"/>
  <c r="S575" i="1"/>
  <c r="Q575" i="1"/>
  <c r="O575" i="1"/>
  <c r="I575" i="1"/>
  <c r="AI594" i="1"/>
  <c r="AL507" i="1"/>
  <c r="AM511" i="1"/>
  <c r="S515" i="1"/>
  <c r="S517" i="1"/>
  <c r="U519" i="1"/>
  <c r="U521" i="1"/>
  <c r="AL530" i="1"/>
  <c r="AK554" i="1"/>
  <c r="AM559" i="1"/>
  <c r="V559" i="1"/>
  <c r="I564" i="1"/>
  <c r="V565" i="1"/>
  <c r="O565" i="1"/>
  <c r="M565" i="1"/>
  <c r="K565" i="1"/>
  <c r="K566" i="1"/>
  <c r="I566" i="1"/>
  <c r="V566" i="1"/>
  <c r="U566" i="1"/>
  <c r="AM567" i="1"/>
  <c r="AI586" i="1"/>
  <c r="AH586" i="1"/>
  <c r="AG586" i="1"/>
  <c r="O589" i="1"/>
  <c r="M589" i="1"/>
  <c r="K589" i="1"/>
  <c r="AG493" i="1"/>
  <c r="AG501" i="1"/>
  <c r="AG510" i="1"/>
  <c r="U515" i="1"/>
  <c r="V517" i="1"/>
  <c r="V519" i="1"/>
  <c r="V521" i="1"/>
  <c r="AG527" i="1"/>
  <c r="K529" i="1"/>
  <c r="AM530" i="1"/>
  <c r="AN530" i="1" s="1"/>
  <c r="AL554" i="1"/>
  <c r="AL595" i="1" s="1"/>
  <c r="AH560" i="1"/>
  <c r="K564" i="1"/>
  <c r="AM571" i="1"/>
  <c r="AL571" i="1"/>
  <c r="AK571" i="1"/>
  <c r="AJ586" i="1"/>
  <c r="I593" i="1"/>
  <c r="O529" i="1"/>
  <c r="AM531" i="1"/>
  <c r="AN531" i="1" s="1"/>
  <c r="AG531" i="1"/>
  <c r="AM554" i="1"/>
  <c r="AK560" i="1"/>
  <c r="Q564" i="1"/>
  <c r="I565" i="1"/>
  <c r="M566" i="1"/>
  <c r="I569" i="1"/>
  <c r="AI571" i="1"/>
  <c r="V578" i="1"/>
  <c r="AM578" i="1"/>
  <c r="AK579" i="1"/>
  <c r="AJ579" i="1"/>
  <c r="AJ595" i="1" s="1"/>
  <c r="AJ534" i="1" s="1"/>
  <c r="I549" i="1" s="1"/>
  <c r="AI579" i="1"/>
  <c r="AK586" i="1"/>
  <c r="Q593" i="1"/>
  <c r="AL563" i="1"/>
  <c r="AM568" i="1"/>
  <c r="AL576" i="1"/>
  <c r="AL582" i="1"/>
  <c r="AL592" i="1"/>
  <c r="AM576" i="1"/>
  <c r="AM582" i="1"/>
  <c r="AM588" i="1"/>
  <c r="AH591" i="1"/>
  <c r="AG564" i="1"/>
  <c r="AH569" i="1"/>
  <c r="AG577" i="1"/>
  <c r="AG583" i="1"/>
  <c r="AG589" i="1"/>
  <c r="AI591" i="1"/>
  <c r="AG593" i="1"/>
  <c r="AK569" i="1"/>
  <c r="AJ577" i="1"/>
  <c r="AJ583" i="1"/>
  <c r="AJ589" i="1"/>
  <c r="AL591" i="1"/>
  <c r="AJ593" i="1"/>
  <c r="AK564" i="1"/>
  <c r="AG568" i="1"/>
  <c r="AK577" i="1"/>
  <c r="AK583" i="1"/>
  <c r="AK589" i="1"/>
  <c r="AK593" i="1"/>
  <c r="AG595" i="1" l="1"/>
  <c r="AG534" i="1" s="1"/>
  <c r="F549" i="1" s="1"/>
  <c r="AH595" i="1"/>
  <c r="AH534" i="1" s="1"/>
  <c r="G549" i="1" s="1"/>
  <c r="K595" i="1"/>
  <c r="F548" i="1" s="1"/>
  <c r="AK595" i="1"/>
  <c r="AK534" i="1" s="1"/>
  <c r="J549" i="1" s="1"/>
  <c r="M595" i="1"/>
  <c r="G548" i="1" s="1"/>
  <c r="V52" i="1"/>
  <c r="Z105" i="1"/>
  <c r="V105" i="1"/>
  <c r="U105" i="1"/>
  <c r="S105" i="1"/>
  <c r="K105" i="1"/>
  <c r="I105" i="1"/>
  <c r="Q105" i="1"/>
  <c r="O105" i="1"/>
  <c r="M105" i="1"/>
  <c r="M535" i="1" s="1"/>
  <c r="AI595" i="1"/>
  <c r="AI534" i="1" s="1"/>
  <c r="H549" i="1" s="1"/>
  <c r="O595" i="1"/>
  <c r="H548" i="1" s="1"/>
  <c r="Q46" i="1"/>
  <c r="O46" i="1"/>
  <c r="Z46" i="1"/>
  <c r="V46" i="1"/>
  <c r="U46" i="1"/>
  <c r="S46" i="1"/>
  <c r="M46" i="1"/>
  <c r="K46" i="1"/>
  <c r="I46" i="1"/>
  <c r="AL534" i="1"/>
  <c r="Q595" i="1"/>
  <c r="I548" i="1" s="1"/>
  <c r="Q107" i="1"/>
  <c r="O107" i="1"/>
  <c r="Z107" i="1"/>
  <c r="M107" i="1"/>
  <c r="K107" i="1"/>
  <c r="I107" i="1"/>
  <c r="V107" i="1"/>
  <c r="U107" i="1"/>
  <c r="S107" i="1"/>
  <c r="V595" i="1"/>
  <c r="I139" i="1"/>
  <c r="U139" i="1"/>
  <c r="M139" i="1"/>
  <c r="K139" i="1"/>
  <c r="Z139" i="1"/>
  <c r="V139" i="1"/>
  <c r="S139" i="1"/>
  <c r="Q139" i="1"/>
  <c r="O139" i="1"/>
  <c r="F1" i="1"/>
  <c r="V223" i="1"/>
  <c r="U223" i="1"/>
  <c r="I223" i="1"/>
  <c r="S223" i="1"/>
  <c r="Q223" i="1"/>
  <c r="K223" i="1"/>
  <c r="O223" i="1"/>
  <c r="M223" i="1"/>
  <c r="Z223" i="1"/>
  <c r="S595" i="1"/>
  <c r="J548" i="1" s="1"/>
  <c r="Z134" i="1"/>
  <c r="U134" i="1"/>
  <c r="S134" i="1"/>
  <c r="M134" i="1"/>
  <c r="I134" i="1"/>
  <c r="V134" i="1"/>
  <c r="Q134" i="1"/>
  <c r="O134" i="1"/>
  <c r="K134" i="1"/>
  <c r="U595" i="1"/>
  <c r="K548" i="1" s="1"/>
  <c r="I40" i="1"/>
  <c r="I535" i="1" s="1"/>
  <c r="V40" i="1"/>
  <c r="V1" i="1" s="1"/>
  <c r="Z40" i="1"/>
  <c r="U40" i="1"/>
  <c r="U1" i="1" s="1"/>
  <c r="S40" i="1"/>
  <c r="S535" i="1" s="1"/>
  <c r="Q40" i="1"/>
  <c r="O40" i="1"/>
  <c r="O535" i="1" s="1"/>
  <c r="M40" i="1"/>
  <c r="M1" i="1" s="1"/>
  <c r="K40" i="1"/>
  <c r="K1" i="1" s="1"/>
  <c r="M319" i="1"/>
  <c r="K319" i="1"/>
  <c r="I319" i="1"/>
  <c r="Z319" i="1"/>
  <c r="Q319" i="1"/>
  <c r="O319" i="1"/>
  <c r="V319" i="1"/>
  <c r="S319" i="1"/>
  <c r="U319" i="1"/>
  <c r="I45" i="1"/>
  <c r="V45" i="1"/>
  <c r="M45" i="1"/>
  <c r="O45" i="1"/>
  <c r="O1" i="1" s="1"/>
  <c r="K45" i="1"/>
  <c r="Z45" i="1"/>
  <c r="S45" i="1"/>
  <c r="Q45" i="1"/>
  <c r="U45" i="1"/>
  <c r="Z318" i="1"/>
  <c r="S318" i="1"/>
  <c r="Q318" i="1"/>
  <c r="O318" i="1"/>
  <c r="M318" i="1"/>
  <c r="K318" i="1"/>
  <c r="U318" i="1"/>
  <c r="V318" i="1"/>
  <c r="I318" i="1"/>
  <c r="I536" i="1" l="1"/>
  <c r="I538" i="1"/>
  <c r="I539" i="1" s="1"/>
  <c r="O538" i="1"/>
  <c r="O539" i="1" s="1"/>
  <c r="H547" i="1"/>
  <c r="O536" i="1"/>
  <c r="O542" i="1"/>
  <c r="G547" i="1"/>
  <c r="M536" i="1"/>
  <c r="M538" i="1"/>
  <c r="M539" i="1" s="1"/>
  <c r="M542" i="1"/>
  <c r="S536" i="1"/>
  <c r="J547" i="1"/>
  <c r="S538" i="1"/>
  <c r="S539" i="1" s="1"/>
  <c r="S542" i="1"/>
  <c r="V597" i="1"/>
  <c r="W596" i="1"/>
  <c r="I1" i="1"/>
  <c r="G550" i="1" s="1"/>
  <c r="K535" i="1"/>
  <c r="S1" i="1"/>
  <c r="L548" i="1"/>
  <c r="M548" i="1" s="1"/>
  <c r="K549" i="1"/>
  <c r="L549" i="1" s="1"/>
  <c r="AM534" i="1"/>
  <c r="U535" i="1"/>
  <c r="Q1" i="1"/>
  <c r="Q535" i="1"/>
  <c r="U538" i="1" l="1"/>
  <c r="U539" i="1" s="1"/>
  <c r="U536" i="1"/>
  <c r="K547" i="1"/>
  <c r="U542" i="1"/>
  <c r="K536" i="1"/>
  <c r="V535" i="1"/>
  <c r="W535" i="1" s="1"/>
  <c r="K538" i="1"/>
  <c r="K539" i="1" s="1"/>
  <c r="F547" i="1"/>
  <c r="K542" i="1"/>
  <c r="I547" i="1"/>
  <c r="Q536" i="1"/>
  <c r="Q538" i="1"/>
  <c r="Q539" i="1" s="1"/>
  <c r="Q542" i="1"/>
  <c r="L547" i="1" l="1"/>
  <c r="M5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tc={7F342AA8-C86B-4E63-9071-9B03E756F678}</author>
  </authors>
  <commentList>
    <comment ref="B478" authorId="0" shapeId="0" xr:uid="{7F342AA8-C86B-4E63-9071-9B03E756F678}">
      <text>
        <t>[Threaded comment]
Your version of Excel allows you to read this threaded comment; however, any edits to it will get removed if the file is opened in a newer version of Excel. Learn more: https://go.microsoft.com/fwlink/?linkid=870924
Comment:
    SB</t>
      </text>
    </comment>
  </commentList>
</comments>
</file>

<file path=xl/sharedStrings.xml><?xml version="1.0" encoding="utf-8"?>
<sst xmlns="http://schemas.openxmlformats.org/spreadsheetml/2006/main" count="2307" uniqueCount="1346">
  <si>
    <t>Sr No</t>
  </si>
  <si>
    <t>Model</t>
  </si>
  <si>
    <t>Part Number</t>
  </si>
  <si>
    <t xml:space="preserve">SAP Part Number </t>
  </si>
  <si>
    <t>Part Description</t>
  </si>
  <si>
    <t>Total Sch</t>
  </si>
  <si>
    <t>Strokes/Part</t>
  </si>
  <si>
    <t>Blanking</t>
  </si>
  <si>
    <t>320T</t>
  </si>
  <si>
    <t>200T</t>
  </si>
  <si>
    <t>160T</t>
  </si>
  <si>
    <t>110T</t>
  </si>
  <si>
    <t>80T</t>
  </si>
  <si>
    <t>63T</t>
  </si>
  <si>
    <t>Total Strokes Req</t>
  </si>
  <si>
    <t>M/C</t>
  </si>
  <si>
    <t>No OF Machines</t>
  </si>
  <si>
    <t>Part Wt.</t>
  </si>
  <si>
    <t>Per Day Req</t>
  </si>
  <si>
    <t>val.</t>
  </si>
  <si>
    <t>Schedule</t>
  </si>
  <si>
    <t>Delete Stroke</t>
  </si>
  <si>
    <t>SCH</t>
  </si>
  <si>
    <t>Parent code</t>
  </si>
  <si>
    <t>Opening stock</t>
  </si>
  <si>
    <t xml:space="preserve">Total Opening Strokes </t>
  </si>
  <si>
    <t>XUV</t>
  </si>
  <si>
    <t>PMAM0102AAW01040NV</t>
  </si>
  <si>
    <t>PMAM0102AAW00690-I</t>
  </si>
  <si>
    <t>ASSY REINF CCB MTG LH</t>
  </si>
  <si>
    <t>PMAM0102AAW01030NV</t>
  </si>
  <si>
    <t>PMAM0102AAW00680-I</t>
  </si>
  <si>
    <t>ASSY REINF CCB MTG- RH</t>
  </si>
  <si>
    <t>PMAM0102AAW01370NV</t>
  </si>
  <si>
    <t>PMAM0102AAW01380-I</t>
  </si>
  <si>
    <t>ASSY WIPER BTG BRKT PIVOT 3</t>
  </si>
  <si>
    <t>PMVM0102AAW04990-V</t>
  </si>
  <si>
    <t>PMVM0102AAW04990-I</t>
  </si>
  <si>
    <t>BRACKET DEGASSING TANK GAS</t>
  </si>
  <si>
    <t>PMVM0102AW0610N-V</t>
  </si>
  <si>
    <t>PMAM0102AW0610N-I</t>
  </si>
  <si>
    <t>REINF BRKT BRAKE / CLUTCH MTG</t>
  </si>
  <si>
    <t>PMAM0101EW1360N-V</t>
  </si>
  <si>
    <t>PMAM0101EW1360N</t>
  </si>
  <si>
    <t>BRKT TRIM PLR D MTG LWR</t>
  </si>
  <si>
    <t>300T</t>
  </si>
  <si>
    <t>PMAM0101EW1370N-V</t>
  </si>
  <si>
    <t>PMAM0101EW1370N</t>
  </si>
  <si>
    <t>BKT TRIM PLR D MTG</t>
  </si>
  <si>
    <t>PMAM0102AW0640NV</t>
  </si>
  <si>
    <t>PMAM0102AW06100N-I</t>
  </si>
  <si>
    <t>ASSY REINF HINGE HOOD LWR - RH</t>
  </si>
  <si>
    <t>PMAM0102AAW01020NV</t>
  </si>
  <si>
    <t>PMAM0102AW0670N-I</t>
  </si>
  <si>
    <t>ASSY REINF HINGE HOOD LWR - LH</t>
  </si>
  <si>
    <t>PMAM0102AAW013100NV</t>
  </si>
  <si>
    <t>PMAM0102AAW01360-I</t>
  </si>
  <si>
    <t>WIPER MTG BRKT PIVOT  2</t>
  </si>
  <si>
    <t>PMAM0102AAW014100NV</t>
  </si>
  <si>
    <t>PMAM0102AAW01470-I</t>
  </si>
  <si>
    <t>INTER COOLER MTG BRKT LH</t>
  </si>
  <si>
    <t>PMAM0102AAW01770N</t>
  </si>
  <si>
    <t>ENGINE COMP WIRING MTG BRKT</t>
  </si>
  <si>
    <t>PMAM0102AAW2660N-V</t>
  </si>
  <si>
    <t>PMAM0102AAW02640-I</t>
  </si>
  <si>
    <t>ASSY BEC MTG BRKT-BOP</t>
  </si>
  <si>
    <t>PMAM0102AW0630N</t>
  </si>
  <si>
    <t>PMAM0102AW0630N-I</t>
  </si>
  <si>
    <t>BRKT PLENUM OUTER/DASH MTG</t>
  </si>
  <si>
    <t>PMAM0101EW1440N</t>
  </si>
  <si>
    <t>PMAM0101EW1440N-I</t>
  </si>
  <si>
    <t>ANCHRG D LOOP PILLAR C UPR RH</t>
  </si>
  <si>
    <t>PMAM0101EW14100N</t>
  </si>
  <si>
    <t>PMAM0101EW14100N-I</t>
  </si>
  <si>
    <t>PMVL0102AAW02420N</t>
  </si>
  <si>
    <t>WIPER MOUNTING BRACKET PIVOT  2 LHD</t>
  </si>
  <si>
    <t>PMVM0102AAW02510N</t>
  </si>
  <si>
    <t>REINF BRKT BRAKE / CLUTCH MOUNTING  LHD</t>
  </si>
  <si>
    <t>PMAM0102AAW01100NV</t>
  </si>
  <si>
    <t>PMAM0102AAW01100NI</t>
  </si>
  <si>
    <t>PMAM0102AAW01760NV</t>
  </si>
  <si>
    <t>PMAM0102AAW01760NI</t>
  </si>
  <si>
    <t>ASSY FNDR MTG BRKT FRNT LWR LH</t>
  </si>
  <si>
    <t>PMAM0102AAW01100N</t>
  </si>
  <si>
    <t>PMVM0102AAW01100-I</t>
  </si>
  <si>
    <t>PMAM0101BAW08590N</t>
  </si>
  <si>
    <t>GEAR SHIFT MTG BKT FRT FLR</t>
  </si>
  <si>
    <t>PMVL0102AAW02440N</t>
  </si>
  <si>
    <t>WIPER BTG BRKT PIVOT 3 LHD</t>
  </si>
  <si>
    <t>PMVL0102AAW02460N</t>
  </si>
  <si>
    <t>BRACKET BRAKE PEDAL BOX MOUNTING LHD</t>
  </si>
  <si>
    <t>PMVL0102AAW2380N-V</t>
  </si>
  <si>
    <t>WIPER MOTOR LOCATING BRACKET LHD</t>
  </si>
  <si>
    <t>PMVM0102AAW025100N</t>
  </si>
  <si>
    <t>PMVM0101EAR158100-V</t>
  </si>
  <si>
    <t>PMVM0101EAR158100-I</t>
  </si>
  <si>
    <t>MPV</t>
  </si>
  <si>
    <t>PMVM0101EAR15860-V</t>
  </si>
  <si>
    <t>PMVM0101EAR15860-I</t>
  </si>
  <si>
    <t>BRACKET WHL GAURD RR RH</t>
  </si>
  <si>
    <t>PMVM0101EAR15900-V</t>
  </si>
  <si>
    <t>PMVM0101EAR15900-I</t>
  </si>
  <si>
    <t>BRACKET WHEEL GAURD LOWER REAR LH</t>
  </si>
  <si>
    <t>PMVL0101EAR03200NV</t>
  </si>
  <si>
    <t>PMVM0101EAR3120N-I</t>
  </si>
  <si>
    <t>ASSY SLVE MDLE SEAT ANCHG LH</t>
  </si>
  <si>
    <t>PMVL0101EAR3060N-V</t>
  </si>
  <si>
    <t>PMVM0101EAR3060N-I</t>
  </si>
  <si>
    <t>REINF SBA FRT UPR</t>
  </si>
  <si>
    <t>KUV</t>
  </si>
  <si>
    <t>PMVM0101EAZ1160N-V</t>
  </si>
  <si>
    <t>PMVM0101EAZ1160N-I</t>
  </si>
  <si>
    <t>NUTPLT REINF TOP WHL HSE INR LH</t>
  </si>
  <si>
    <t>PMVM0101EAZ11100N-V</t>
  </si>
  <si>
    <t>PMVM0101EAZ11100N-I</t>
  </si>
  <si>
    <t>PMVM0101EAZ0520N-V</t>
  </si>
  <si>
    <t>PMVM0101EAZ0520N-I</t>
  </si>
  <si>
    <t>REINF PILLAR D SEAL UPR RH</t>
  </si>
  <si>
    <t>PMVM0101EAZ0530N-V</t>
  </si>
  <si>
    <t>PMVM0101EAZ0530N-I</t>
  </si>
  <si>
    <t>REINF PILLAR D SEAL UPR LH</t>
  </si>
  <si>
    <t>PTML284562200130-V</t>
  </si>
  <si>
    <t>PTML284562200130PH</t>
  </si>
  <si>
    <t>ASSY RESERVIOR BOTTLE MOUNTING</t>
  </si>
  <si>
    <t>TML-Winger</t>
  </si>
  <si>
    <t>PTML284562208251-V</t>
  </si>
  <si>
    <t>PTML284562208251-I</t>
  </si>
  <si>
    <t>BRACKET - 8251</t>
  </si>
  <si>
    <t>PTML55506260M10162/PTML55506260M10101</t>
  </si>
  <si>
    <t>PTML284562600177-V</t>
  </si>
  <si>
    <t>PTML284562608268-I</t>
  </si>
  <si>
    <t>BRACKET ASSY GRILL MTG</t>
  </si>
  <si>
    <t>PTML284588108206-V</t>
  </si>
  <si>
    <t>PTML284588108206-I</t>
  </si>
  <si>
    <t>REINFORCEMENT,SIDE BONNET,LH</t>
  </si>
  <si>
    <t>PTML284588108207-V</t>
  </si>
  <si>
    <t>PTML284588108207-I</t>
  </si>
  <si>
    <t>REINFORCEMENT,SIDE BONNET,RH</t>
  </si>
  <si>
    <t>PTML284588708260-V</t>
  </si>
  <si>
    <t>PTML284588708260-I</t>
  </si>
  <si>
    <t>BRACKET,BUMPER ADD ON SIDE,LH</t>
  </si>
  <si>
    <t>PTML55508810M10103</t>
  </si>
  <si>
    <t>PTML284588708261-V</t>
  </si>
  <si>
    <t>PTML284588708261-I</t>
  </si>
  <si>
    <t>BRACKET,BUMPER ADD ON SIDE,RH</t>
  </si>
  <si>
    <t>PTML55508810M10104</t>
  </si>
  <si>
    <t>PTML284588708271-V</t>
  </si>
  <si>
    <t>PTML284588708271-I</t>
  </si>
  <si>
    <t>BRACKET,FENDER,LOWER-LH</t>
  </si>
  <si>
    <t>PTML284588708272-V</t>
  </si>
  <si>
    <t>PTML284588708272-I</t>
  </si>
  <si>
    <t>BRACKET,FENDER,LOWER-RH</t>
  </si>
  <si>
    <t>PTML284588700165-V</t>
  </si>
  <si>
    <t>PTML284588708247-I</t>
  </si>
  <si>
    <t>REINF ASSY HINGE LH</t>
  </si>
  <si>
    <t>PTML55508870M10162</t>
  </si>
  <si>
    <t>PTML284588700166-V</t>
  </si>
  <si>
    <t>PTML284588708248-I</t>
  </si>
  <si>
    <t>REINF ASSY HINGE RH</t>
  </si>
  <si>
    <t>PTML2674881008230-V</t>
  </si>
  <si>
    <t>PTML2674881008230-I</t>
  </si>
  <si>
    <t>PTML2674881008231-V</t>
  </si>
  <si>
    <t>PTML2674881008231-I</t>
  </si>
  <si>
    <t>PTML284562208241-V</t>
  </si>
  <si>
    <t>PTML284562208241-I</t>
  </si>
  <si>
    <t>REINF RESERVOIR BOTTLE MOUNTING</t>
  </si>
  <si>
    <t>PTML55506260M10172</t>
  </si>
  <si>
    <t>U301</t>
  </si>
  <si>
    <t>PMVM0102AU303670-I</t>
  </si>
  <si>
    <t>EINFORCEMENT HOOD DAMPNER LH</t>
  </si>
  <si>
    <t>PMVM0102AU303790-I</t>
  </si>
  <si>
    <t>MTBL</t>
  </si>
  <si>
    <t>PMNA6101EAA00270N</t>
  </si>
  <si>
    <t>PMNA6101EAA00380N</t>
  </si>
  <si>
    <t>NUT PLATE STRIKER</t>
  </si>
  <si>
    <t>PMNA6101BAA00180NV</t>
  </si>
  <si>
    <t>PMNA6101BAA0060N</t>
  </si>
  <si>
    <t>R/F Ext Storage Hinge Fr RH-BOP</t>
  </si>
  <si>
    <t>PMNA6103BAA00220N</t>
  </si>
  <si>
    <t>PMNA6103BAA00220NI</t>
  </si>
  <si>
    <t>REINF EXT STORAGE HINGE REAR LH</t>
  </si>
  <si>
    <t>PMNA6103BAA00230N</t>
  </si>
  <si>
    <t>PMNA6103BAA00230NI</t>
  </si>
  <si>
    <t>REINF EXT STORAGE HINGE REAR RH</t>
  </si>
  <si>
    <t>PMNA6103AAA00170N</t>
  </si>
  <si>
    <t>GLASS RUN CHANNEL LATCH SIDE LH ( 600N )</t>
  </si>
  <si>
    <t>PMVM6103AAA00320-I</t>
  </si>
  <si>
    <t>BRKT GLASS RUN CHANNEL LATCH SIDE UPPER</t>
  </si>
  <si>
    <t>PMVM6103AAA00260-I</t>
  </si>
  <si>
    <t>BRKT GLASS RUN CHANNEL LATCH SIDE LOWER</t>
  </si>
  <si>
    <t>PMNA6103AAA00180N</t>
  </si>
  <si>
    <t>GLASS RUN CHANNEL LATCH SIDE RH ( 780N )</t>
  </si>
  <si>
    <t>PMNA6101BAA00300-I</t>
  </si>
  <si>
    <t>REINF SEAT BELT LOWER ANCHORAGE INNER</t>
  </si>
  <si>
    <t>PMNA6101EAA00260NI</t>
  </si>
  <si>
    <t>REINF STRIKER MTG</t>
  </si>
  <si>
    <t>PMNA6101EAA00860N</t>
  </si>
  <si>
    <t>PMVM1104AZ0280-I</t>
  </si>
  <si>
    <t>BASE PLATE COVER STEERING COLUMN</t>
  </si>
  <si>
    <t>PMNA1104AAA03100PC</t>
  </si>
  <si>
    <t>ALL</t>
  </si>
  <si>
    <t>PALLX3012013-I</t>
  </si>
  <si>
    <t>STRIP PANEL BODY SIDE STEP</t>
  </si>
  <si>
    <t>PALLB5426408</t>
  </si>
  <si>
    <t>PMNA6119AAA01140-I</t>
  </si>
  <si>
    <t>BRKT SUPPORT PIVOT MTG LH</t>
  </si>
  <si>
    <t>PALLB5426409</t>
  </si>
  <si>
    <t>PMNA6119AAA01150-I</t>
  </si>
  <si>
    <t>BRKT SUPPORT PIVOT MTG RH</t>
  </si>
  <si>
    <t>PMVM0101EAZ2970N-V</t>
  </si>
  <si>
    <t>PMVM0101EAZ2970N-I</t>
  </si>
  <si>
    <t>REINFORCEMENT CNG INLT WHL HS RR</t>
  </si>
  <si>
    <t>ARJUN</t>
  </si>
  <si>
    <t>PMAM60366M01-I</t>
  </si>
  <si>
    <t>REINF SCUTTLE PANEL SIDE LH</t>
  </si>
  <si>
    <t>PMAM60367M01-I</t>
  </si>
  <si>
    <t>REINF SCUTTLE PANEL SIDE RH</t>
  </si>
  <si>
    <t>PMVL0101EAR3080N-V</t>
  </si>
  <si>
    <t>PMVM0101EAR3080N-I</t>
  </si>
  <si>
    <t>REINF MIDDLE SEAT ANCH OTR (CUP)</t>
  </si>
  <si>
    <t>PMVM0102AU303660-I</t>
  </si>
  <si>
    <t>REINFORCEMENT HOOD DAMPNER RH</t>
  </si>
  <si>
    <t>PMVM0102AU303730-I</t>
  </si>
  <si>
    <t>PMAM0101EW0600N</t>
  </si>
  <si>
    <t>REINF HINGE MTG PLR B TOP-RH</t>
  </si>
  <si>
    <t>PMAM0101EW0610N</t>
  </si>
  <si>
    <t>REINF HINGE MTG PLR B TOP-LH</t>
  </si>
  <si>
    <t>PMAM0102AAW01350NV</t>
  </si>
  <si>
    <t>PMAM0102AAW01350NI</t>
  </si>
  <si>
    <t>ASSY WIPER MTG BRKT PIVOT 2</t>
  </si>
  <si>
    <t>PMAM0102AAW01450NV</t>
  </si>
  <si>
    <t>PMAM0102AAW01450NI</t>
  </si>
  <si>
    <t>ASSY INTER COOLER MTG BRKT LH</t>
  </si>
  <si>
    <t>PMAM0102AAW2650N-V</t>
  </si>
  <si>
    <t>PMAM0102AAW2650N-I</t>
  </si>
  <si>
    <t>WIPER PIGTAIL MOUNTING BRKT</t>
  </si>
  <si>
    <t>Arjun</t>
  </si>
  <si>
    <t>PMAM7540710C1-V</t>
  </si>
  <si>
    <t>PMAM7540711C1-V</t>
  </si>
  <si>
    <t>U202</t>
  </si>
  <si>
    <t>PMVL0101BAP2480N-V</t>
  </si>
  <si>
    <t>Plate foot step mtg ctr flr</t>
  </si>
  <si>
    <t>PMVL0101BAP2880N-V</t>
  </si>
  <si>
    <t>Reinf cs mbr frt flr rr DC</t>
  </si>
  <si>
    <t>PMVL0101BAP2950N-V</t>
  </si>
  <si>
    <t>PMVL0101BAP2950N</t>
  </si>
  <si>
    <t>2nd row seat outer mtg RH</t>
  </si>
  <si>
    <t>PMVL0101BAP2960N-V</t>
  </si>
  <si>
    <t>PMVL0101BAP2960N</t>
  </si>
  <si>
    <t>2nd row seat outer mtg LH</t>
  </si>
  <si>
    <t>PMVL0102AAW02950NV</t>
  </si>
  <si>
    <t>PMVL0102AAW02950N</t>
  </si>
  <si>
    <t>PMVM0101BAZ1510N-V</t>
  </si>
  <si>
    <t>REINF BUSH REAR RH</t>
  </si>
  <si>
    <t>PMVM0101BAZ1520N-V</t>
  </si>
  <si>
    <t>REINF BUSH REAR LH</t>
  </si>
  <si>
    <t>PMVM0101EAR15850-V</t>
  </si>
  <si>
    <t>PMVM0101EAR15850-I</t>
  </si>
  <si>
    <t>BRACKET WHL GAURD RR LH</t>
  </si>
  <si>
    <t>H3</t>
  </si>
  <si>
    <t>PMAM7500155D1</t>
  </si>
  <si>
    <t>PMAM7500155D1-I</t>
  </si>
  <si>
    <t>PERF GUARD MFG BKT TOP LH</t>
  </si>
  <si>
    <t>PMAM7500156D1</t>
  </si>
  <si>
    <t>PMAM7500156D1-I</t>
  </si>
  <si>
    <t>PERF GUARD MTG BKT TOP RH</t>
  </si>
  <si>
    <t>PMAM7500157D2</t>
  </si>
  <si>
    <t>PMAM7500157D2-I</t>
  </si>
  <si>
    <t>PMAM7505076D1</t>
  </si>
  <si>
    <t>SIDE PANEL CONNECTOR LH</t>
  </si>
  <si>
    <t>PMAM7505077D1</t>
  </si>
  <si>
    <t>SIDE PANEL CONNECTOR RH</t>
  </si>
  <si>
    <t>PMAM7505099D1</t>
  </si>
  <si>
    <t>PMAM7505126D1</t>
  </si>
  <si>
    <t>ASSY FUSE BOX MTG BKT [FIRE WALL]</t>
  </si>
  <si>
    <t>PMAM7505248D1</t>
  </si>
  <si>
    <t xml:space="preserve">TML-Winger </t>
  </si>
  <si>
    <t>PTML284560100152-V</t>
  </si>
  <si>
    <t>PTML284560103305-I</t>
  </si>
  <si>
    <t>BRACKET ASSY BUMPER MTG FRONT</t>
  </si>
  <si>
    <t>PTML284560100154-V</t>
  </si>
  <si>
    <t>PTML284560108227-I</t>
  </si>
  <si>
    <t>SUPPORT ASSY BRACKET</t>
  </si>
  <si>
    <t>PTML284560100155-V</t>
  </si>
  <si>
    <t>PTML284560103303-I</t>
  </si>
  <si>
    <t>BRACKET ASSY FRONT GRILL MTG LH</t>
  </si>
  <si>
    <t>PTML284560100156-V</t>
  </si>
  <si>
    <t>PTML284560103304-I</t>
  </si>
  <si>
    <t>BRACKET ASSY FRONT GRILL MTG RH</t>
  </si>
  <si>
    <t>PTML284560103301-V</t>
  </si>
  <si>
    <t>PTML284560103301-I</t>
  </si>
  <si>
    <t>BRACKET,TOP-LH</t>
  </si>
  <si>
    <t>PTML284560103302-V</t>
  </si>
  <si>
    <t>PTML284560103302-I</t>
  </si>
  <si>
    <t>BRACKET,TOP-RH</t>
  </si>
  <si>
    <t>PTML284560108216-V</t>
  </si>
  <si>
    <t>PTML284560108216-I</t>
  </si>
  <si>
    <t>BRACKET,RADIATOR MTG</t>
  </si>
  <si>
    <t>PTML284562200142-V</t>
  </si>
  <si>
    <t>PTML284562203303-I</t>
  </si>
  <si>
    <t>BRACKET ASSY AIR INTAKE DUCT MTG</t>
  </si>
  <si>
    <t>PTML284562200143-V</t>
  </si>
  <si>
    <t>PTML284562203301-I</t>
  </si>
  <si>
    <t>BRACKET ASSY AIR FILTER MTG</t>
  </si>
  <si>
    <t>PTML284562600178-V</t>
  </si>
  <si>
    <t>PTML284562608269-I</t>
  </si>
  <si>
    <t>BRACKET ASSY FENDER MTG UPPER-LH</t>
  </si>
  <si>
    <t>PTML284562600179-V</t>
  </si>
  <si>
    <t>PTML284562608270-I</t>
  </si>
  <si>
    <t>BRACKET ASSY FENDER MT UPPER-RH</t>
  </si>
  <si>
    <t>PTML284562600180-V</t>
  </si>
  <si>
    <t>PTML284562608271-I</t>
  </si>
  <si>
    <t>BRACKET ASSY FENDER MTG LH</t>
  </si>
  <si>
    <t>PTML284562600181-V</t>
  </si>
  <si>
    <t>PTML284562608272-I</t>
  </si>
  <si>
    <t>BRACKET ASSY FENDER MTG RH</t>
  </si>
  <si>
    <t>PTML284588100107-V</t>
  </si>
  <si>
    <t>PTML284588108210-I</t>
  </si>
  <si>
    <t>BRACKET ASSY BUMPER ADD ON SUPPORT LH</t>
  </si>
  <si>
    <t>PTML284588100108-V</t>
  </si>
  <si>
    <t>PTML284588108211-I</t>
  </si>
  <si>
    <t>BRACKET ASSY BUMPER ADD ON SUPPORT RH</t>
  </si>
  <si>
    <t>T4</t>
  </si>
  <si>
    <t>PMAM008006633C1-V</t>
  </si>
  <si>
    <t>PMAM008006633C1-I</t>
  </si>
  <si>
    <t>PMAM0101BW0360N</t>
  </si>
  <si>
    <t>SCUFF PLATE MTG BRKT RH</t>
  </si>
  <si>
    <t>PMAM0101EAW01920NV</t>
  </si>
  <si>
    <t>PMAM0101EAW01920NI</t>
  </si>
  <si>
    <t>ASSY NUT PLATE THRUST PAD</t>
  </si>
  <si>
    <t>PMAM0101EAW03320N</t>
  </si>
  <si>
    <t>WIND SHIELD MTG BRKT PLR A TOP RH</t>
  </si>
  <si>
    <t>PMAM0101EAW03330N</t>
  </si>
  <si>
    <t>WIND SHIELD MTG BRKT PLR A TOP LH</t>
  </si>
  <si>
    <t>PMAM0101EAW03470N</t>
  </si>
  <si>
    <t>EXTN FRONT HEADER BRACKET RH</t>
  </si>
  <si>
    <t>PMAM0101EAW03480N</t>
  </si>
  <si>
    <t>EXTN FRONT HEADER BRACKET LH</t>
  </si>
  <si>
    <t>PMAM0101EW0340N</t>
  </si>
  <si>
    <t>EXT TAILLAMP PILLAR D OTR RH</t>
  </si>
  <si>
    <t>PMAM0101EW0350N</t>
  </si>
  <si>
    <t>EXT TAILLAMP PILLAR D OTR LH</t>
  </si>
  <si>
    <t>PMAM0101EW0830NV</t>
  </si>
  <si>
    <t>PMAM0101EW0830NI</t>
  </si>
  <si>
    <t>ASSY REINF FRT HINGE TOP RH</t>
  </si>
  <si>
    <t>PMAM0101EW1280NV</t>
  </si>
  <si>
    <t>PMAM0101EW1280N</t>
  </si>
  <si>
    <t>ASSY REINF FRT HINGE TOP LH</t>
  </si>
  <si>
    <t>PMAM0102AAW01330NV</t>
  </si>
  <si>
    <t>PMAM0102AAW01330NI</t>
  </si>
  <si>
    <t>ASSY WIPER MTG BRKT PIVOT 1</t>
  </si>
  <si>
    <t>PMAM7525013D2-V</t>
  </si>
  <si>
    <t>FENDER LAMP HOUSING</t>
  </si>
  <si>
    <t>PMAM7537507C1</t>
  </si>
  <si>
    <t>PMAM7537507C1-I</t>
  </si>
  <si>
    <t>UPPER PLATE-BAZEL MTG</t>
  </si>
  <si>
    <t>PMAM7537519C1</t>
  </si>
  <si>
    <t>PMAM7537519C1-I</t>
  </si>
  <si>
    <t>LOWER PLATE-BAZEL MTG</t>
  </si>
  <si>
    <t>PMAMOA0061120M01</t>
  </si>
  <si>
    <t>HINGE ASSLY FUEL FILTER DOOR</t>
  </si>
  <si>
    <t>PMNA6101BAA00390N</t>
  </si>
  <si>
    <t>PMNA6101BAA00390NI</t>
  </si>
  <si>
    <t>REINF CROSS MBR FR LH</t>
  </si>
  <si>
    <t>PMNA6101BAA00400N</t>
  </si>
  <si>
    <t>PMNA6101BAA00400NI</t>
  </si>
  <si>
    <t>REINF CROSS MBR FR RH</t>
  </si>
  <si>
    <t>PMVL0101BAP2250N-V</t>
  </si>
  <si>
    <t>Skid mtg brkt - DC,KC</t>
  </si>
  <si>
    <t>PMVL0101BAP2470N-V</t>
  </si>
  <si>
    <t>Bkt Foot Step Mtg centre Flr</t>
  </si>
  <si>
    <t>PMVL0101BAP2650N-V</t>
  </si>
  <si>
    <t>PMVL0101EAR2610N-V</t>
  </si>
  <si>
    <t>PMVM0101EAR2610N-I</t>
  </si>
  <si>
    <t>REINF SBA FRONT LWR OTR</t>
  </si>
  <si>
    <t>PMVL0101EAR3880N-V</t>
  </si>
  <si>
    <t>GUSSET C-PILLAR OUTER</t>
  </si>
  <si>
    <t>PMVM102EAW00780N-V</t>
  </si>
  <si>
    <t>PMVM102EAW00780N-I</t>
  </si>
  <si>
    <t>REINF FRONT HOOD CT</t>
  </si>
  <si>
    <t>PTML284562208205-V</t>
  </si>
  <si>
    <t>PTML284562208205-I</t>
  </si>
  <si>
    <t>BRACKET DASHBORD MOUNTING</t>
  </si>
  <si>
    <t>PTML284562608281-V</t>
  </si>
  <si>
    <t>PTML284562608281-I</t>
  </si>
  <si>
    <t>BRACKET,FENDER MTG</t>
  </si>
  <si>
    <t>PTML284562608282-V</t>
  </si>
  <si>
    <t>PTML284562608282-I</t>
  </si>
  <si>
    <t>PTML284562608283-V</t>
  </si>
  <si>
    <t>PTML284562608283-I</t>
  </si>
  <si>
    <t>PTML284562608284-V</t>
  </si>
  <si>
    <t>PTML284562608284-I</t>
  </si>
  <si>
    <t>PTML284588700172-V</t>
  </si>
  <si>
    <t>PTML284588708263-I</t>
  </si>
  <si>
    <t>NUT PLATE ASSY</t>
  </si>
  <si>
    <t>PTML284588700183-V</t>
  </si>
  <si>
    <t>PTML284588708265-I</t>
  </si>
  <si>
    <t>PMAM000061057M01</t>
  </si>
  <si>
    <t>Reinforcement Fender Support Side</t>
  </si>
  <si>
    <t>PMAM000061058M01</t>
  </si>
  <si>
    <t>Reinforcment Fender Support Front</t>
  </si>
  <si>
    <t>PMAM007500013D3</t>
  </si>
  <si>
    <t>BONNET REINF FRONT</t>
  </si>
  <si>
    <t>PMAM007500396D91</t>
  </si>
  <si>
    <t>Side Panel Lug S/A</t>
  </si>
  <si>
    <t>PMAM007500492D1</t>
  </si>
  <si>
    <t>Side Panel Latch plate</t>
  </si>
  <si>
    <t>PMAM007505469C91</t>
  </si>
  <si>
    <t>PMAM007505471C91</t>
  </si>
  <si>
    <t>PMAM007530716C1</t>
  </si>
  <si>
    <t>PMAM007530716C1-I</t>
  </si>
  <si>
    <t>STIFFNER FOR FENDER M&amp;M ULTRA EN_MI_74</t>
  </si>
  <si>
    <t>PMAM007538041D1</t>
  </si>
  <si>
    <t>PMAM007538042D1</t>
  </si>
  <si>
    <t>PMAM007538043D1-V</t>
  </si>
  <si>
    <t>EXTENSION PIECE SIDE PANEL LH</t>
  </si>
  <si>
    <t>PMAM007538044D1-V</t>
  </si>
  <si>
    <t>EXTENSION PIECE SIDE PANEL RH</t>
  </si>
  <si>
    <t>PMAM007538796C1</t>
  </si>
  <si>
    <t>PMAM007538796C1-I</t>
  </si>
  <si>
    <t>PMAM0101EW0360N-V</t>
  </si>
  <si>
    <t>PMAM0101EW0360N</t>
  </si>
  <si>
    <t>REINF CANTRAIL SIDE REAR RH</t>
  </si>
  <si>
    <t>PMAM0101EW0370N-V</t>
  </si>
  <si>
    <t>PMAM0101EW0370N</t>
  </si>
  <si>
    <t>REINF CANTRAIL SIDE REAR LH</t>
  </si>
  <si>
    <t>Alfa</t>
  </si>
  <si>
    <t>PMAM0102AM1220N-V</t>
  </si>
  <si>
    <t>PMAM0102AM1220N</t>
  </si>
  <si>
    <t>SIDE MEMBER FRONT RH</t>
  </si>
  <si>
    <t>PMAM0102AM1760N-V</t>
  </si>
  <si>
    <t>PMAM0102AM1760N</t>
  </si>
  <si>
    <t>SIDE MEMBER FRONT LH</t>
  </si>
  <si>
    <t>PMAM0104CM0850N-V</t>
  </si>
  <si>
    <t>PMAM0104CM0850N</t>
  </si>
  <si>
    <t>FOOT STEP PANEL LH</t>
  </si>
  <si>
    <t>PMAM0104CM0860N-V</t>
  </si>
  <si>
    <t>PMAM0104CM0860N</t>
  </si>
  <si>
    <t>FOOT STEP PANEL RH</t>
  </si>
  <si>
    <t>PMAM6101BAA0120N-V</t>
  </si>
  <si>
    <t>CROSS MEMBER FRONT WIDER</t>
  </si>
  <si>
    <t>PMAM61117M01</t>
  </si>
  <si>
    <t>MIRRAR MTG PLATE</t>
  </si>
  <si>
    <t>PMAM61118M01</t>
  </si>
  <si>
    <t>REINFORCEMENT FOR INSTRUMENT PANEL</t>
  </si>
  <si>
    <t>Compact</t>
  </si>
  <si>
    <t>PMAM7500969D1</t>
  </si>
  <si>
    <t>PMAM7501081D1-SA-V</t>
  </si>
  <si>
    <t>PMAM7501081D1</t>
  </si>
  <si>
    <t>CONNECTING CHANEL HEAD LAMP MTG BKT-BOP</t>
  </si>
  <si>
    <t>PMAM7501082D1</t>
  </si>
  <si>
    <t>PMAM7538104D91</t>
  </si>
  <si>
    <t>Front Platform Reinf Sub Assy RH Mech</t>
  </si>
  <si>
    <t>PMAM7538106D91</t>
  </si>
  <si>
    <t>Front Platform Reinf  Sub Assy LH Mech</t>
  </si>
  <si>
    <t>PMAM7539733D91</t>
  </si>
  <si>
    <t>PMAM7539734D91</t>
  </si>
  <si>
    <t>PMVM0101BAZ1230N-V</t>
  </si>
  <si>
    <t>PMVM0101BAZ1230N-I</t>
  </si>
  <si>
    <t>BRACKET FUEL TANK LH</t>
  </si>
  <si>
    <t>PMVM0101EAZ1150N-V</t>
  </si>
  <si>
    <t>PMVM0101EAZ1150N-I</t>
  </si>
  <si>
    <t>NUTPLT REINF TOP WHL HSE INR RH</t>
  </si>
  <si>
    <t>PMVM101BAW08590N-V</t>
  </si>
  <si>
    <t>PMAM007530045D3</t>
  </si>
  <si>
    <t>FENDER LAMP GUARD</t>
  </si>
  <si>
    <t>PMAM007530150D91</t>
  </si>
  <si>
    <t>FENDER LAMP COVER S/A</t>
  </si>
  <si>
    <t>PMAM007537442C1</t>
  </si>
  <si>
    <t>FRONT PANEL SIDE EXTENTION LH</t>
  </si>
  <si>
    <t>PMAM007537443C1</t>
  </si>
  <si>
    <t>FRONT PANEL SIDE EXTENTION RH</t>
  </si>
  <si>
    <t>PMAM007541594D1-V</t>
  </si>
  <si>
    <t>PMAM007541594D1-I</t>
  </si>
  <si>
    <t>FRONT PANEL MIDDLE EXT</t>
  </si>
  <si>
    <t>BOLERO</t>
  </si>
  <si>
    <t>PMAM0101BAN04040-V</t>
  </si>
  <si>
    <t>PMAM0101BAN04040-I</t>
  </si>
  <si>
    <t>COVER ASSY GEAR BOX FRT FLOOR-BOP</t>
  </si>
  <si>
    <t>PMAM0101EW1450N</t>
  </si>
  <si>
    <t>PMAM0101EW1450N-I</t>
  </si>
  <si>
    <t>ANCHRG D LOOP PILLAR C UPR LH</t>
  </si>
  <si>
    <t>PMAM60474M01</t>
  </si>
  <si>
    <t>LOCATING PLATE REAR RH</t>
  </si>
  <si>
    <t>PMAM60475M01</t>
  </si>
  <si>
    <t>LOCATING PLATE REAR LH</t>
  </si>
  <si>
    <t>PMAM61168M01</t>
  </si>
  <si>
    <t>SCUTTLE REINFORCEMENT</t>
  </si>
  <si>
    <t>PMAM61339M01</t>
  </si>
  <si>
    <t>ANGLE FOR SIDE PANEL</t>
  </si>
  <si>
    <t>PMAM7500450C1</t>
  </si>
  <si>
    <t>PMAM7500521C1</t>
  </si>
  <si>
    <t>PMAM7500967D1</t>
  </si>
  <si>
    <t>PMAM7500967D1-I</t>
  </si>
  <si>
    <t>PMAM7501089D1</t>
  </si>
  <si>
    <t>Bonnet Bottom Corner Gusset LH</t>
  </si>
  <si>
    <t>PMAM7501090D1</t>
  </si>
  <si>
    <t>Bonnet Bottom Corner Gusset RH</t>
  </si>
  <si>
    <t>PMAM7501104D1</t>
  </si>
  <si>
    <t>Side Panel Bottom Mtg Bkt Rear</t>
  </si>
  <si>
    <t>PMAM7501126D91</t>
  </si>
  <si>
    <t>Side Panel Sealing Sub Assy LH</t>
  </si>
  <si>
    <t>PMAM7501127D91</t>
  </si>
  <si>
    <t>Side Panel Sealing Sub Assy RH</t>
  </si>
  <si>
    <t>PMAM7505183C11</t>
  </si>
  <si>
    <t>PMAM7505186C11</t>
  </si>
  <si>
    <t>PMAM75155377D1</t>
  </si>
  <si>
    <t>PMAM7538108D91</t>
  </si>
  <si>
    <t>PMAM7538113D91</t>
  </si>
  <si>
    <t>PMAM7538114D1</t>
  </si>
  <si>
    <t>PMAM7538117D91</t>
  </si>
  <si>
    <t>PMAM7538151D1</t>
  </si>
  <si>
    <t>PMAM7538151D1-I</t>
  </si>
  <si>
    <t>PMAM7538265D91</t>
  </si>
  <si>
    <t>PMAM7538266D1</t>
  </si>
  <si>
    <t>PMAM7538271D1</t>
  </si>
  <si>
    <t>PMAM7538272D1</t>
  </si>
  <si>
    <t>PMAM7538327D1</t>
  </si>
  <si>
    <t>PMAM7538327D1-I</t>
  </si>
  <si>
    <t>PMAM7538480D1</t>
  </si>
  <si>
    <t>PMAM7538516D1</t>
  </si>
  <si>
    <t>PMAM7539371D1</t>
  </si>
  <si>
    <t>REINFORCEMENT PLATE</t>
  </si>
  <si>
    <t>PMAM7539393D1</t>
  </si>
  <si>
    <t>PMAM7539393D1-I</t>
  </si>
  <si>
    <t>SIDE PANEL REINF</t>
  </si>
  <si>
    <t>PMAM7539735D1</t>
  </si>
  <si>
    <t>PMAM7539735D1-I</t>
  </si>
  <si>
    <t>Hst Platform bottom Gusset LH</t>
  </si>
  <si>
    <t>PMAM7903754C11-V</t>
  </si>
  <si>
    <t>ASS. REINF UPPER FRT GRILLE-BOP</t>
  </si>
  <si>
    <t>PMAM7903755C11-V</t>
  </si>
  <si>
    <t>ASS. REINF LOWER FRT GRILLE-BOP</t>
  </si>
  <si>
    <t>PMAME007531704D1</t>
  </si>
  <si>
    <t>PMNA1104AAA03100NV</t>
  </si>
  <si>
    <t>PMNA1104AAA03100N</t>
  </si>
  <si>
    <t>ASSY STRG COLUMN BOTTOM BRACKET-V (AZ0280-I)</t>
  </si>
  <si>
    <t>PMVM1104AA2940-v</t>
  </si>
  <si>
    <t>PMVM1104AA2940-I</t>
  </si>
  <si>
    <t>STEERING COLUMN BOTTOM SUPPORT</t>
  </si>
  <si>
    <t>Loadking</t>
  </si>
  <si>
    <t>PMNA6101EAJ00030NV</t>
  </si>
  <si>
    <t>PMNA6101EAJ00030-I</t>
  </si>
  <si>
    <t>DRIP ROOF SIDE RR RH</t>
  </si>
  <si>
    <t>PMNA6101EAJ00040NV</t>
  </si>
  <si>
    <t>PMNA6101EAJ00040-I</t>
  </si>
  <si>
    <t>DRIP ROOF SIDE RR LH</t>
  </si>
  <si>
    <t>PMVM0101BAZ3050N-V</t>
  </si>
  <si>
    <t>PMVM0101BAZ3050N-I</t>
  </si>
  <si>
    <t>BRKT SPARE WHL MTG LH</t>
  </si>
  <si>
    <t>PMVM0101BAZ3710N-V</t>
  </si>
  <si>
    <t>PMVM0101BAZ3710N-I</t>
  </si>
  <si>
    <t>BRACKET SEAT BELT ANCH RR CNG</t>
  </si>
  <si>
    <t>PMVM0101BAZ4430N-V</t>
  </si>
  <si>
    <t>PMVM0101BAZ4430N-I</t>
  </si>
  <si>
    <t>BRACKET SPARE WHL RH</t>
  </si>
  <si>
    <t>PMVM0102AAW02550N</t>
  </si>
  <si>
    <t>TML - Bumper</t>
  </si>
  <si>
    <t>PTML265188508207-V</t>
  </si>
  <si>
    <t>PTML265188508207-I</t>
  </si>
  <si>
    <t>REINF CHANNEL LH - BOP</t>
  </si>
  <si>
    <t>PTML26518850011822</t>
  </si>
  <si>
    <t>PTML265188508216-V</t>
  </si>
  <si>
    <t>PTML265188508216-I</t>
  </si>
  <si>
    <t>REINF CHANNEL RH- BOP</t>
  </si>
  <si>
    <t>PTML284588460106-V</t>
  </si>
  <si>
    <t>PTML284588460106-I</t>
  </si>
  <si>
    <t>BRACKET ASSY,FRONT BUMPER BOTTOM MTG</t>
  </si>
  <si>
    <t>PMAM007642334U1-V</t>
  </si>
  <si>
    <t>Grill Front Side</t>
  </si>
  <si>
    <t>PMAM007642393U1-V</t>
  </si>
  <si>
    <t>PMAM7637191D1-V</t>
  </si>
  <si>
    <t>WELDING BRACKET WORK LAMP LH</t>
  </si>
  <si>
    <t>PMAM7637192D1-V</t>
  </si>
  <si>
    <t>BRACKET WORK LAMP BEZEL LH BOTTOM</t>
  </si>
  <si>
    <t>PMAM7637193D1-V</t>
  </si>
  <si>
    <t>WELDING BRACKET WORK LAMP RH</t>
  </si>
  <si>
    <t>PMAM7637194D1-V</t>
  </si>
  <si>
    <t>BRACKET WORK LAMP BEZEL RH BOTTOM</t>
  </si>
  <si>
    <t>PMAM7637197D1-V</t>
  </si>
  <si>
    <t>WELDING FLANGE LH</t>
  </si>
  <si>
    <t>PMAM7637198D1-V</t>
  </si>
  <si>
    <t>WELDING FLANGE RH</t>
  </si>
  <si>
    <t>PMAM7637380D1-V</t>
  </si>
  <si>
    <t>FRONT GRILL CENTER</t>
  </si>
  <si>
    <t>PMAM7637397U1-V</t>
  </si>
  <si>
    <t>PMAM7637397U1-I</t>
  </si>
  <si>
    <t>FIREWALL PANEL-TIER IV</t>
  </si>
  <si>
    <t>PMAM7637587D1-V</t>
  </si>
  <si>
    <t>HOOD EXTENSION SIDE LH</t>
  </si>
  <si>
    <t>PMAM7637588D1-V</t>
  </si>
  <si>
    <t>HOOD EXTENSION SIDE RH</t>
  </si>
  <si>
    <t>PMAM7637589D1-V</t>
  </si>
  <si>
    <t>HOOD EXTENSION TOP</t>
  </si>
  <si>
    <t>PMAM7637590D1-V</t>
  </si>
  <si>
    <t>HOOD EXTENSION MTG BRKT</t>
  </si>
  <si>
    <t>PMAM7637608D1-V</t>
  </si>
  <si>
    <t>TRANSPORTATION PLATE</t>
  </si>
  <si>
    <t>PMAM7637683U1-V</t>
  </si>
  <si>
    <t>FIREWALL SEALING FOAM MTG BKT</t>
  </si>
  <si>
    <t>PMAM7637692U1-V</t>
  </si>
  <si>
    <t>FIREWALL TOP SEALING FOAM SUPPORT BKT</t>
  </si>
  <si>
    <t>PMAM7639429D1-V</t>
  </si>
  <si>
    <t>FRONT GRILL MTG BKT TOP</t>
  </si>
  <si>
    <t>PMAM7639430D1-V</t>
  </si>
  <si>
    <t>FRONT GRILL MTG BKT BOTTOM</t>
  </si>
  <si>
    <t>PMAM0102AAW00830N</t>
  </si>
  <si>
    <t>REINF PANEL  W/H UPPER LH</t>
  </si>
  <si>
    <t>PMAM0102AW0460N</t>
  </si>
  <si>
    <t>REINF PANEL  W/H UPPER RH</t>
  </si>
  <si>
    <t>PMVM0101BAZ02960-V</t>
  </si>
  <si>
    <t>PMVM0101BAZ02960-I</t>
  </si>
  <si>
    <t>REINF SEAT FRONT</t>
  </si>
  <si>
    <t>PMAM000060439M01</t>
  </si>
  <si>
    <t>Close Out Plate End</t>
  </si>
  <si>
    <t>PMAM000060975M01</t>
  </si>
  <si>
    <t>Bkt.Canopy Mtg</t>
  </si>
  <si>
    <t>PMAM000061167M01</t>
  </si>
  <si>
    <t>Handle Reinforcement</t>
  </si>
  <si>
    <t>PMAM0060528M01</t>
  </si>
  <si>
    <t>PMAM007501129D1</t>
  </si>
  <si>
    <t>PMAM007501130D1</t>
  </si>
  <si>
    <t>PMAM007530151D1</t>
  </si>
  <si>
    <t>PMAM7530151D1-I</t>
  </si>
  <si>
    <t>PMAM007530152D1</t>
  </si>
  <si>
    <t>PMAM7530152D1-I</t>
  </si>
  <si>
    <t>PMAM007530153D1</t>
  </si>
  <si>
    <t>PMAM007530153D1-I</t>
  </si>
  <si>
    <t>REAR FENDER REINF REAR</t>
  </si>
  <si>
    <t>PMAM007530221C1</t>
  </si>
  <si>
    <t>PMAM007530223C1</t>
  </si>
  <si>
    <t>PMAM007530224C1</t>
  </si>
  <si>
    <t>PMAM007530230C1</t>
  </si>
  <si>
    <t>Reinforcment Plate</t>
  </si>
  <si>
    <t>PMAM007530348C1</t>
  </si>
  <si>
    <t>PMAM007538269D91-V</t>
  </si>
  <si>
    <t>PMAM007538269D91</t>
  </si>
  <si>
    <t>PMAM0101EAR03720N</t>
  </si>
  <si>
    <t>NUT PLATE ASSY DOOR LOCATOR</t>
  </si>
  <si>
    <t>PMAM0102AAW01460N</t>
  </si>
  <si>
    <t>INTER COOLER MTG BRKT RH</t>
  </si>
  <si>
    <t>PMAM07501106D91</t>
  </si>
  <si>
    <t>LAMP MTG BKT LUG SUB ASSY.</t>
  </si>
  <si>
    <t>PMAM60476M01-V</t>
  </si>
  <si>
    <t>PMAM60476M01-I</t>
  </si>
  <si>
    <t>LOCATING PLATE FRNT RH</t>
  </si>
  <si>
    <t>PMAM60477M01-V</t>
  </si>
  <si>
    <t>PMAM60477M01-I</t>
  </si>
  <si>
    <t>LOCATING PLATE FRONT I LH</t>
  </si>
  <si>
    <t>PMAM60861M01-V</t>
  </si>
  <si>
    <t>PMAM60861M01-I</t>
  </si>
  <si>
    <t>AIR CLOSER PLATE LH</t>
  </si>
  <si>
    <t>PMAM60862M01-V</t>
  </si>
  <si>
    <t>PMAM60862M01-I</t>
  </si>
  <si>
    <t>AIR CLOSER PLATE RH</t>
  </si>
  <si>
    <t>PMAM7500991D1-V</t>
  </si>
  <si>
    <t>PMAM7500991D1-I</t>
  </si>
  <si>
    <t>PMAM7501098D1-V</t>
  </si>
  <si>
    <t>PMAM7501098D1-I</t>
  </si>
  <si>
    <t>PMAM7501099D1-V</t>
  </si>
  <si>
    <t>PMAM7501099D1-I</t>
  </si>
  <si>
    <t>PMAM7505219C1-V</t>
  </si>
  <si>
    <t>PMAM7505219C1</t>
  </si>
  <si>
    <t>PMAM7505220C1-V</t>
  </si>
  <si>
    <t>PMAM7505221C1-V</t>
  </si>
  <si>
    <t>PMAM7505222C1-V</t>
  </si>
  <si>
    <t>PMAM7538165D1</t>
  </si>
  <si>
    <t>PMNA6101BAA00320N</t>
  </si>
  <si>
    <t>PMNA6101BAA00320NI</t>
  </si>
  <si>
    <t>BRKT FLOOR SIDE ADDON</t>
  </si>
  <si>
    <t>PMNA6101DAA00210N</t>
  </si>
  <si>
    <t>PMNA6101DAA00210NI</t>
  </si>
  <si>
    <t>BKT ROOM LAMP SLPR</t>
  </si>
  <si>
    <t>PMNA6101DAA00200N</t>
  </si>
  <si>
    <t>PMNA6101DAC00410N</t>
  </si>
  <si>
    <t>PMNA6101DAC00410NI</t>
  </si>
  <si>
    <t>PMNA6101DAC00430N</t>
  </si>
  <si>
    <t>PMNA6101DAC00430NI</t>
  </si>
  <si>
    <t>PMNA6101EAA0450N-V</t>
  </si>
  <si>
    <t>PMNA6101EAA00450NI  </t>
  </si>
  <si>
    <t>REINF EXT STORAGE HINGE MTG.-V</t>
  </si>
  <si>
    <t>PMNA6103AAA00310N</t>
  </si>
  <si>
    <t>PMNA6103AAA00310NI</t>
  </si>
  <si>
    <t>STUD PLATE HINGE MTG.</t>
  </si>
  <si>
    <t>PMNA6103BAA00050N</t>
  </si>
  <si>
    <t>PMNA6103BAA00050NI</t>
  </si>
  <si>
    <t>REINF EXT STORAGE STRIKER</t>
  </si>
  <si>
    <t>PMVL0101EAR03160NV</t>
  </si>
  <si>
    <t>ASSY SLEEVE SBA FRT ANCH LWR</t>
  </si>
  <si>
    <t>PMVM0101BAR09290-V</t>
  </si>
  <si>
    <t>PMVM0101BAR09290-I</t>
  </si>
  <si>
    <t>PMVM0101BAR09310-V</t>
  </si>
  <si>
    <t>PMVM0101BAR09310-I</t>
  </si>
  <si>
    <t>PMVM0101CAW00530-V</t>
  </si>
  <si>
    <t>PMVM0101CAW00530-I</t>
  </si>
  <si>
    <t>BKT VAC RESERVOIR</t>
  </si>
  <si>
    <t>PTML267488503304-V</t>
  </si>
  <si>
    <t>PTML267488503304-I</t>
  </si>
  <si>
    <t>BRAKET REFLEX REFLECTOR MTG-LH</t>
  </si>
  <si>
    <t>PTML267488503305-V</t>
  </si>
  <si>
    <t>PTML267488503305-I</t>
  </si>
  <si>
    <t>BRAKET REFLEX REFLECTOR MTG-RH</t>
  </si>
  <si>
    <t>PTML267488508226-V</t>
  </si>
  <si>
    <t>PTML267488508226-I</t>
  </si>
  <si>
    <t>BRACKET,BUMPER MTG,LOWER-8226</t>
  </si>
  <si>
    <t>PTML267488500172</t>
  </si>
  <si>
    <t>PTML267488508227-V</t>
  </si>
  <si>
    <t>PTML267488508227-I</t>
  </si>
  <si>
    <t>BRACKET,BUMPER MTG,LOWER-8227</t>
  </si>
  <si>
    <t>PTML267488508230-V</t>
  </si>
  <si>
    <t>PTML267488508230-I</t>
  </si>
  <si>
    <t>BRACKET,BUMPER MTG,LOWER-8230</t>
  </si>
  <si>
    <t>PTML267488508231-V</t>
  </si>
  <si>
    <t>PTML267488508231-I</t>
  </si>
  <si>
    <t>BRACKET,BUMPER MTG,LOWER-8231</t>
  </si>
  <si>
    <t>PTML267488510147-V</t>
  </si>
  <si>
    <t>PTML267488508256-I</t>
  </si>
  <si>
    <t>Assy Number Plate mtg bkt</t>
  </si>
  <si>
    <t>PMAM007500018D1</t>
  </si>
  <si>
    <t>PMAM007500018D1-I</t>
  </si>
  <si>
    <t>PMAM007500020D2</t>
  </si>
  <si>
    <t>PMAM007500020D2-I</t>
  </si>
  <si>
    <t>PMAM007500604D91</t>
  </si>
  <si>
    <t>PMAM007501128D1</t>
  </si>
  <si>
    <t>PMAM007530796D1</t>
  </si>
  <si>
    <t>PMAM0102AAW01500N</t>
  </si>
  <si>
    <t>IP LOCATING BRKT INNER RH</t>
  </si>
  <si>
    <t>PMAM0102AAW01530N</t>
  </si>
  <si>
    <t>IP LOCATING BRKT OUTER LH</t>
  </si>
  <si>
    <t>PMAM0102AAW01750NV</t>
  </si>
  <si>
    <t>PMAM0102AAW01750NI</t>
  </si>
  <si>
    <t>ASSY FNDR MTG BRKT FRNT LWR RH</t>
  </si>
  <si>
    <t>PMAM7501085D1</t>
  </si>
  <si>
    <t>PMAM7501086D1</t>
  </si>
  <si>
    <t>PMAM7501101D1</t>
  </si>
  <si>
    <t>PMAM7501102D1</t>
  </si>
  <si>
    <t>PMAM7501145D1</t>
  </si>
  <si>
    <t>Side Sealing Plate Side Panel Bottom LH</t>
  </si>
  <si>
    <t>PMAM7501146D1</t>
  </si>
  <si>
    <t>Side Sealing Plate Side Panel Bottom RH</t>
  </si>
  <si>
    <t>PMAM7505074D91</t>
  </si>
  <si>
    <t>PMAM7505075D91</t>
  </si>
  <si>
    <t>PMAM7505333D1</t>
  </si>
  <si>
    <t>BONNET OPENING KNOB MOUNTING BKT</t>
  </si>
  <si>
    <t>PMAM7537439C1</t>
  </si>
  <si>
    <t>PMAM7537440C1</t>
  </si>
  <si>
    <t>PMAM7537440C1-I</t>
  </si>
  <si>
    <t>AIR CLOSER OUT PLATE SIDE LH</t>
  </si>
  <si>
    <t>PMAM7537441C1</t>
  </si>
  <si>
    <t>AIR CLOSER OUT PLATE SIDE RH</t>
  </si>
  <si>
    <t>PMAM7538161D91</t>
  </si>
  <si>
    <t>Rear Platform HAT Section Assy</t>
  </si>
  <si>
    <t>PMAM7539386D91</t>
  </si>
  <si>
    <t>PMAM7539426D1</t>
  </si>
  <si>
    <t>Side panel bottom front lug LH</t>
  </si>
  <si>
    <t>PMAM7539427D1</t>
  </si>
  <si>
    <t>Side panel bottom front lug RH</t>
  </si>
  <si>
    <t>PTML284554608214-V</t>
  </si>
  <si>
    <t>PTML284554608214-I</t>
  </si>
  <si>
    <t>INTERCONNECTION BRACKET FOR ROOF &amp; DOOR</t>
  </si>
  <si>
    <t>PTML284562200141-V</t>
  </si>
  <si>
    <t>PTML284562218213-V</t>
  </si>
  <si>
    <t>BRACKET ASSY HORN MTG</t>
  </si>
  <si>
    <t>PTML284562608239-V</t>
  </si>
  <si>
    <t>PTML284562608239-I</t>
  </si>
  <si>
    <t>REINF SIDE BONNET INNER LH.</t>
  </si>
  <si>
    <t>PTML284562608240-V</t>
  </si>
  <si>
    <t>PTML284562608240-I</t>
  </si>
  <si>
    <t>REINF SIDE BONNET INNER RH.</t>
  </si>
  <si>
    <t>PMAM7500956D1</t>
  </si>
  <si>
    <t>PERFORATED FRONT GRILL BOTTOM</t>
  </si>
  <si>
    <t>PMAM7505011D3-V</t>
  </si>
  <si>
    <t>PMAM7505011D3</t>
  </si>
  <si>
    <t>PMAM7505012D3-V</t>
  </si>
  <si>
    <t>PMAM7505012D3</t>
  </si>
  <si>
    <t>PMAM7505013D3</t>
  </si>
  <si>
    <t>PMAM7505014D3</t>
  </si>
  <si>
    <t>PMAM7505051D2-V</t>
  </si>
  <si>
    <t>PMAM7505051D2</t>
  </si>
  <si>
    <t>PMAM7510014D3-V</t>
  </si>
  <si>
    <t>PMAM7510014D3</t>
  </si>
  <si>
    <t>PMAM7530565D2-V</t>
  </si>
  <si>
    <t>PMAM7530565D2</t>
  </si>
  <si>
    <t>PMAM7531040D1</t>
  </si>
  <si>
    <t>PLATFORM VERTICAL PANEL</t>
  </si>
  <si>
    <t>PMAM7537267D1</t>
  </si>
  <si>
    <t>REAR FLOOR PANEL</t>
  </si>
  <si>
    <t>PMN6103AAA00090N-V</t>
  </si>
  <si>
    <t>WAIST RAIL OUTER LH</t>
  </si>
  <si>
    <t>PMN6103AAA00100N-V</t>
  </si>
  <si>
    <t>WAIST RAIL OUTER  RH</t>
  </si>
  <si>
    <t>PMNA93500040-V</t>
  </si>
  <si>
    <t>END CROSS MEMBER .-   V</t>
  </si>
  <si>
    <t>PMTB6101GAA0270N-V</t>
  </si>
  <si>
    <t>REINF REARWALL LOWER LH - BOP</t>
  </si>
  <si>
    <t>PMTB6101GAA0280N-V</t>
  </si>
  <si>
    <t>REINF REARWAL LOWER RH - BOP</t>
  </si>
  <si>
    <t>PMAM007537444C1</t>
  </si>
  <si>
    <t>PMNA6101EAA00280N</t>
  </si>
  <si>
    <t>PMNA6101EAA00280NI</t>
  </si>
  <si>
    <t>PMAM0101EAW03260NV</t>
  </si>
  <si>
    <t>PMAM0101EAW03260NI</t>
  </si>
  <si>
    <t>ASSY NUT PLATE FENDER MTG RH</t>
  </si>
  <si>
    <t>PMAM0101EAW01740NV</t>
  </si>
  <si>
    <t>PMAM0101EAW01720-I</t>
  </si>
  <si>
    <t>ASSY NUT PLATE GRAB HANDLE RH</t>
  </si>
  <si>
    <t>PMNA6101DAC00450N</t>
  </si>
  <si>
    <t>PMNA6101DAC00450NI</t>
  </si>
  <si>
    <t>BKT SIDE ROOF TRIM MTG HIGH ROOF</t>
  </si>
  <si>
    <t>PMVL0101EAR3660N-V</t>
  </si>
  <si>
    <t>GUSSET C-PILLAR INR</t>
  </si>
  <si>
    <t>PMVL0101EAP5790N-V</t>
  </si>
  <si>
    <t>Reinf Latch Plr B SC RH/LH</t>
  </si>
  <si>
    <t>PMVL0101EAP6170N-V</t>
  </si>
  <si>
    <t>PTML269988700105</t>
  </si>
  <si>
    <t>PTML269988700105N</t>
  </si>
  <si>
    <t>Assy. Cover Plate Hood</t>
  </si>
  <si>
    <t>PMAM0101DW0078NV</t>
  </si>
  <si>
    <t>REINF HINGE ROOF LH</t>
  </si>
  <si>
    <t>PMAM0101EAW03300N</t>
  </si>
  <si>
    <t>BULK HEAD PILLAR A RH</t>
  </si>
  <si>
    <t>PMAM0101EAW03310N</t>
  </si>
  <si>
    <t>BULK HEAD PILLAR A LH</t>
  </si>
  <si>
    <t>PMAM0101EW1180N</t>
  </si>
  <si>
    <t>PMAM0101EW01180N-I</t>
  </si>
  <si>
    <t>NUT PLATE FOR CHK ARM RH</t>
  </si>
  <si>
    <t>PMAM0101EW1190N</t>
  </si>
  <si>
    <t>PMAM0101EW01190N-I</t>
  </si>
  <si>
    <t>NUT PLATE FOR CHK ARM LH</t>
  </si>
  <si>
    <t>PMAM0102AAW01320N</t>
  </si>
  <si>
    <t>BRKT BRAKE PEDAL BOX MTG RHD</t>
  </si>
  <si>
    <t>PMAM0102AAW01690NV</t>
  </si>
  <si>
    <t>PMAM0102AAW01690NI</t>
  </si>
  <si>
    <t>ASSY CLUTCH UPPER MTG BRKT RH</t>
  </si>
  <si>
    <t>PMVM102EAW00740N-V</t>
  </si>
  <si>
    <t>PMVM102EAW00740N-I</t>
  </si>
  <si>
    <t>REINF STAY ROD CT</t>
  </si>
  <si>
    <t>PMVL0101BAP2120N-V</t>
  </si>
  <si>
    <t>Extn cross mbr plr C - RH/LH</t>
  </si>
  <si>
    <t>PMVL0101BAP2190N-V</t>
  </si>
  <si>
    <t>Extn cross mbr plr C - LH</t>
  </si>
  <si>
    <t>PMVL0101ER0850N-V</t>
  </si>
  <si>
    <t>REINF DOOR HINGE-B PILLAR-SHT</t>
  </si>
  <si>
    <t>PMAM0102AAW02190N</t>
  </si>
  <si>
    <t>REINFORCEMNT PNL DASH</t>
  </si>
  <si>
    <t>PMAM0101DW0070NV</t>
  </si>
  <si>
    <t>PMAM0101DW0070N-I</t>
  </si>
  <si>
    <t>REINF HINGE ROOF RH</t>
  </si>
  <si>
    <t>PMAM0101DW0080NV</t>
  </si>
  <si>
    <t>PMAM0101DW0080N-I</t>
  </si>
  <si>
    <t>PMVM2302AAN01480-V</t>
  </si>
  <si>
    <t>BUMPER WELDING ROD - 1480</t>
  </si>
  <si>
    <t>PMAM0102AU301150-V</t>
  </si>
  <si>
    <t>PMVM0102AU301150-I</t>
  </si>
  <si>
    <t>BRKT WASHER BOTTLE FRONT</t>
  </si>
  <si>
    <t>PMAM102AU301170N-V</t>
  </si>
  <si>
    <t>PMAM102AU301170N-I</t>
  </si>
  <si>
    <t>BRKT SIDE ENGINE PANEL LH</t>
  </si>
  <si>
    <t>PMVL0101EAR1120N-V</t>
  </si>
  <si>
    <t>PMVM0101EAR1120N-I</t>
  </si>
  <si>
    <t>BRKT ROOF BOW B PILLAR</t>
  </si>
  <si>
    <t>PMAM0101AAW01570NI</t>
  </si>
  <si>
    <t>ASSY COVER PLATE I SHAFT</t>
  </si>
  <si>
    <t>PMVL0102AAW02400N</t>
  </si>
  <si>
    <t>WIPER MOUNTING BRCKET PIVOT 1 LHD</t>
  </si>
  <si>
    <t>PMVL0101EAR3650N-V</t>
  </si>
  <si>
    <t>GUSSET B-PILLAR OUTER</t>
  </si>
  <si>
    <t>PMAM0102EW0070NV</t>
  </si>
  <si>
    <t>PMAM0102EW0070N</t>
  </si>
  <si>
    <t>ASSY REINF. HINGE HOOD RH</t>
  </si>
  <si>
    <t>PMAM0102EW0080NV</t>
  </si>
  <si>
    <t>PMAM0102EW0080N</t>
  </si>
  <si>
    <t>ASSY REINFORCEMENT HINGE HOOD LH</t>
  </si>
  <si>
    <t>PMAM0101EAW03070NV</t>
  </si>
  <si>
    <t>PMAM0101EAW03070NI</t>
  </si>
  <si>
    <t>ASSY FENDER MTG BRKT PLR 'A' RH</t>
  </si>
  <si>
    <t>BOLERO- P107</t>
  </si>
  <si>
    <t>PMAM0102AAP2410N-V</t>
  </si>
  <si>
    <t>PMAM0101EAF02880-I</t>
  </si>
  <si>
    <t>BRKT SEAT BELT ANCHG B PLR ( 2410 )</t>
  </si>
  <si>
    <t>PMAM0102CAW00200N</t>
  </si>
  <si>
    <t>FENDER MTG BRKT 12B RH</t>
  </si>
  <si>
    <t>PMAM0101EW1480N</t>
  </si>
  <si>
    <t>REINF ELR MTG PILLAR C RH</t>
  </si>
  <si>
    <t>PMAM0101EW1490N</t>
  </si>
  <si>
    <t>REINF ELR MTG PILLAR C LH</t>
  </si>
  <si>
    <t>PMVM0101EW0770N-V</t>
  </si>
  <si>
    <t>ASSY NUT PLATE STRIKER-BOP</t>
  </si>
  <si>
    <t>PMAM0101EAW02750NV</t>
  </si>
  <si>
    <t>PMAM0101EAW02750NI</t>
  </si>
  <si>
    <t>ASSY NUT PLT AIR BAG CLIP MTG R</t>
  </si>
  <si>
    <t>PMVM0101ER0240N-V</t>
  </si>
  <si>
    <t>REINFORCMENT STRIKER NUT PLATE</t>
  </si>
  <si>
    <t>PMVL0101ER0230N-V</t>
  </si>
  <si>
    <t>PMVM0101ER0230N-I</t>
  </si>
  <si>
    <t>REINF STRIKER FRONT DOOR</t>
  </si>
  <si>
    <t>PMAM67850-V</t>
  </si>
  <si>
    <t>PMAM34281-I</t>
  </si>
  <si>
    <t>ASSY TAPPING PLATE</t>
  </si>
  <si>
    <t>PMVL0101EAR2440N-V</t>
  </si>
  <si>
    <t>PMVM0101EAR2440N-I</t>
  </si>
  <si>
    <t>REINF SAFETY BELT REAR  RH</t>
  </si>
  <si>
    <t>PMVL0101EAR2450N-V</t>
  </si>
  <si>
    <t>PMVM0101EAR2450N-I</t>
  </si>
  <si>
    <t>REINF SAFETY BELT REAR LH</t>
  </si>
  <si>
    <t>PMVL0101EAR3630N-V</t>
  </si>
  <si>
    <t>PMVM0101EAR3630N-I</t>
  </si>
  <si>
    <t>NUT PLATE SBA</t>
  </si>
  <si>
    <t>PMVM0101EAR3100N-I</t>
  </si>
  <si>
    <t>REINF MIDDLE SEAT ANCH INR</t>
  </si>
  <si>
    <t>W601</t>
  </si>
  <si>
    <t>PMVM0101BW603580-I</t>
  </si>
  <si>
    <t>BRACKET SPARE TYRE FRT MID</t>
  </si>
  <si>
    <t>PMVM0101EW601240-I</t>
  </si>
  <si>
    <t>PMVM0101DW600210-I</t>
  </si>
  <si>
    <t>BRACKET ROOF CONSOLE</t>
  </si>
  <si>
    <t>PMVM0101BW602620-I</t>
  </si>
  <si>
    <t>REINFORCEMENT FRT ROW SEAT OTR</t>
  </si>
  <si>
    <t>PMVM0101BW601550-I</t>
  </si>
  <si>
    <t>REINFORCEMENT FRT ROW SEAT FRT</t>
  </si>
  <si>
    <t>PMVM0101BW603130-I</t>
  </si>
  <si>
    <t>EXTN CROSS MEMBER SEAT FRT ROW</t>
  </si>
  <si>
    <t>PMVM0101BW601960-I</t>
  </si>
  <si>
    <t>BRACKET 2ND ROW 40 SEAT INR</t>
  </si>
  <si>
    <t>PMVM0101BW601420-I</t>
  </si>
  <si>
    <t>PMVM0101BW601950-I</t>
  </si>
  <si>
    <t>BRACKET 2ND ROW 60 SEAT INR</t>
  </si>
  <si>
    <t>PMVM0101EW601270-I</t>
  </si>
  <si>
    <t>PMVM0101BW601970-I</t>
  </si>
  <si>
    <t>REINFORCEMENT 2ND ROW 60 SEAT INR</t>
  </si>
  <si>
    <t>PMVM0101BW601980-I</t>
  </si>
  <si>
    <t>BRACKET 2ND ROW 40 SEAT LATCH INR</t>
  </si>
  <si>
    <t>PMVM0101BW602730-I</t>
  </si>
  <si>
    <t>REINFORCEMENT FUEL TANK RR</t>
  </si>
  <si>
    <t>PMAM0101EW601280-I</t>
  </si>
  <si>
    <t>PMVM0101EW601940-I</t>
  </si>
  <si>
    <t>BRACKET HVAC MOUNTING</t>
  </si>
  <si>
    <t>PMVM0101EW601830-I</t>
  </si>
  <si>
    <t>REINF EXTN WHEEL HOUSE RR INR RH</t>
  </si>
  <si>
    <t>PMVM0101EW601840-I</t>
  </si>
  <si>
    <t>REINF EXTN WHEEL HOUSE RR INR LH</t>
  </si>
  <si>
    <t>W601&amp;W616</t>
  </si>
  <si>
    <t>PMVM0101EW600910-I</t>
  </si>
  <si>
    <t>WHEEL HOUSE EXT REAR LH</t>
  </si>
  <si>
    <t>PMVM0101EW602320-I</t>
  </si>
  <si>
    <t>BRACKET RQT WHL HSE LH</t>
  </si>
  <si>
    <t>PMVM0101EW602310-I</t>
  </si>
  <si>
    <t>BRACKET RQT WHL HSE RH</t>
  </si>
  <si>
    <t>PMVM0101BW601110-I</t>
  </si>
  <si>
    <t>UREA TANK MOUNTING BRKT FRONT</t>
  </si>
  <si>
    <t>PMVM0101EW602350-I</t>
  </si>
  <si>
    <t>BRACKET FUEL LINE WHL HSE INR LH</t>
  </si>
  <si>
    <t>PMVM0101BAW04020-I</t>
  </si>
  <si>
    <t>RAKE HOSE MTG BRKT</t>
  </si>
  <si>
    <t>PMVM0101BW603110-I</t>
  </si>
  <si>
    <t>REINFORCEMENT WHEEL HOUSE RH</t>
  </si>
  <si>
    <t>PMVM0101BW603120-I</t>
  </si>
  <si>
    <t>REINFORCEMENT WHEEL HOUSE LH</t>
  </si>
  <si>
    <t>PMVM2302AW600620-I</t>
  </si>
  <si>
    <t>CRUSH BOX FRT BMPR BM LH OTR</t>
  </si>
  <si>
    <t>PMVM2302AW600170-I</t>
  </si>
  <si>
    <t>CRUSH BOX FRT BMPR BM RH INR</t>
  </si>
  <si>
    <t>PMVM2302AW600190-I</t>
  </si>
  <si>
    <t>PLATE BMPR BM CRUSH BOX LH</t>
  </si>
  <si>
    <t>PMVM2302AW600210-I</t>
  </si>
  <si>
    <t>PLATE BMPR BM CRUSH BOX RH</t>
  </si>
  <si>
    <t>PMVM2302AW600260-I</t>
  </si>
  <si>
    <t>TOW HOOK BRACKET LH</t>
  </si>
  <si>
    <t>PMVM2302AW600250-I</t>
  </si>
  <si>
    <t>BEAM REINFORCEMENT REAR</t>
  </si>
  <si>
    <t>PMVM2302BW600180-I</t>
  </si>
  <si>
    <t>CRUSH BOX RR BMPR BM RH OTR</t>
  </si>
  <si>
    <t>PMVM2302BW600220-I</t>
  </si>
  <si>
    <t>CRUSH BOX RR BMPR BM LH OTR</t>
  </si>
  <si>
    <t>PMVM2302BW600190-I</t>
  </si>
  <si>
    <t>CRUSH BOX RR BMPR BM RH INR</t>
  </si>
  <si>
    <t>PMVM2302BW600210-I</t>
  </si>
  <si>
    <t>CRUSH BOX RR BMPR BM LH INR</t>
  </si>
  <si>
    <t>PMVM2302BW600200-I</t>
  </si>
  <si>
    <t>PLATE BMPR BM CRUSH BOX</t>
  </si>
  <si>
    <t>PMVM0101BW603450-I</t>
  </si>
  <si>
    <t>BRACKET 2ND ROW 40 SEAT INR- W602</t>
  </si>
  <si>
    <t>PMVM0101BW603410-I</t>
  </si>
  <si>
    <t>PMVM0101BW603430-I</t>
  </si>
  <si>
    <t>REINFORCEMENT 2ND ROW 40 SEAT INR-W602</t>
  </si>
  <si>
    <t>P113</t>
  </si>
  <si>
    <t>PMVM0101EAF03910-I</t>
  </si>
  <si>
    <t>BRACKET REINFORCEMENT HINGE RH</t>
  </si>
  <si>
    <t>PMVM0101EAF03320-I</t>
  </si>
  <si>
    <t>PMVM0101EAF03920-I</t>
  </si>
  <si>
    <t>BRACKET REINFORCEMENT HINGE LH</t>
  </si>
  <si>
    <t>PMVM0101BAF05420-I</t>
  </si>
  <si>
    <t>BULKHEAD REAR SILL OUTER RH</t>
  </si>
  <si>
    <t>PMVM0101BAF05430-I</t>
  </si>
  <si>
    <t>BULKHEAD REAR SILL OUTER LH</t>
  </si>
  <si>
    <t>PMVM0101BAF05640-I</t>
  </si>
  <si>
    <t>BULKHEAD FRONT SILL OUTER RH</t>
  </si>
  <si>
    <t>PMVM0101BAF05650-I</t>
  </si>
  <si>
    <t>BULKHEAD FRONT SILL OUTER LH</t>
  </si>
  <si>
    <t>PMVM0101EAF03810-I</t>
  </si>
  <si>
    <t>BULKHEAD A PILLAR INNER RH</t>
  </si>
  <si>
    <t>PMVM0101EAF03820-I</t>
  </si>
  <si>
    <t>BULKHEAD A PILLAR INNER LH</t>
  </si>
  <si>
    <t>PMVM0101BAF04930-I</t>
  </si>
  <si>
    <t>BRACKET FRONT SEAT LH</t>
  </si>
  <si>
    <t>PMVM0101BAF04990-I</t>
  </si>
  <si>
    <t>BRACKET FRONT SEAT RH</t>
  </si>
  <si>
    <t>PMVM0101BAF05230-I</t>
  </si>
  <si>
    <t>BRACKET CONNECT CROSS MBR REAR RH</t>
  </si>
  <si>
    <t>PMVM0101BAF05240-I</t>
  </si>
  <si>
    <t>BRACKET CONNECT CROSS MBR REAR LH</t>
  </si>
  <si>
    <t>PMVM0101BAF05600-I</t>
  </si>
  <si>
    <t>REINFORCEMENT BODY MOUNT RR LH</t>
  </si>
  <si>
    <t>PMVM0101BAF04880-I</t>
  </si>
  <si>
    <t>REINFORCEMENT BODY MOUNT RR RH</t>
  </si>
  <si>
    <t>PMVM2302AAN00480-I</t>
  </si>
  <si>
    <t>BRACKET BUMPER FRT LOWER LH</t>
  </si>
  <si>
    <t>PMVM2302AAN01240-I</t>
  </si>
  <si>
    <t>PMVM2302AAN00500-I</t>
  </si>
  <si>
    <t>BRACKET BUMPER FRT RH</t>
  </si>
  <si>
    <t>PMVM2302AAN00460-I</t>
  </si>
  <si>
    <t>PMVM2302AAN00520-I</t>
  </si>
  <si>
    <t>BRACKET BUMPER FRT UPPER LH</t>
  </si>
  <si>
    <t>PMVM2302AAN01090-I</t>
  </si>
  <si>
    <t>FOG LAMP BEZEL MNT BRKT TP FRT RH</t>
  </si>
  <si>
    <t>PMVM2302AAN01100-I</t>
  </si>
  <si>
    <t>FOG LAMP BEZEL MNT BRKT TP FRT LH</t>
  </si>
  <si>
    <t>PMVM2302AAN01280-I</t>
  </si>
  <si>
    <t>FOG LAMP BZL MTG BRKT INNER RH</t>
  </si>
  <si>
    <t>PMVM2302AAN01290-I</t>
  </si>
  <si>
    <t>FOG LAMP BZL MTG BRKT INNER LH</t>
  </si>
  <si>
    <t>PMVM2302AAN00610-I</t>
  </si>
  <si>
    <t>FOG LAMP BZL MTING BRKT BTM FRT RH</t>
  </si>
  <si>
    <t>PMVM2302AAN00620-I</t>
  </si>
  <si>
    <t>PANEL TORQUE BOX LH</t>
  </si>
  <si>
    <t>PMVM0101EAF04040-I</t>
  </si>
  <si>
    <t>REINFORCEMENT ENTRY HANDLE UPR RH</t>
  </si>
  <si>
    <t>PMVM0101EAF04060-I</t>
  </si>
  <si>
    <t>REINFORCEMENT ENTRY HANDLE LWR RH</t>
  </si>
  <si>
    <t>PMVM0101BAF05250-I</t>
  </si>
  <si>
    <t>REINFORCEMENT FOOT STEP</t>
  </si>
  <si>
    <t>PMVM0101BAF05310-I</t>
  </si>
  <si>
    <t>NUT PLATE M8 24X60</t>
  </si>
  <si>
    <t>PMVM0101BAF04900-I</t>
  </si>
  <si>
    <t>BRKT SEAT BELT ANCHORAGE INR</t>
  </si>
  <si>
    <t>PMVM0101BAF04960-I</t>
  </si>
  <si>
    <t>BRACKET FRONT SEAT RR</t>
  </si>
  <si>
    <t>PMVM0101BAF05160-I</t>
  </si>
  <si>
    <t>BRKT PARKING BRAKE</t>
  </si>
  <si>
    <t>PMVM0101BAF05220-I</t>
  </si>
  <si>
    <t>REINFORCEMENT SEAT BELT ANCHORAGE</t>
  </si>
  <si>
    <t>PMVM0101BAF05280-I</t>
  </si>
  <si>
    <t>REINFORCEMENT PARKING BRAKE REAR</t>
  </si>
  <si>
    <t>PMVM0101BAF05390-I</t>
  </si>
  <si>
    <t>BRACKET PAINT SKID REAR</t>
  </si>
  <si>
    <t>PMVM0101BAF05610-I</t>
  </si>
  <si>
    <t>REINFORCEMENT BODY MOUNT FRT</t>
  </si>
  <si>
    <t>PMVM0101BAF05620-I</t>
  </si>
  <si>
    <t>PANEL CROSS MEMBER FLOOR LH</t>
  </si>
  <si>
    <t>PMVM0101BAF05680-I</t>
  </si>
  <si>
    <t>BRACKET TOOLBOX REAR</t>
  </si>
  <si>
    <t>PMVM0101BAF05710-I</t>
  </si>
  <si>
    <t>REINFORCEMENT TOOLBOX FRONT</t>
  </si>
  <si>
    <t>PMVM0101BAF06050-I</t>
  </si>
  <si>
    <t>REINFORCEMENT BODY MOUNT REAR</t>
  </si>
  <si>
    <t>PMVM0101BAF06120-I</t>
  </si>
  <si>
    <t>REINFORCEMENT BEZEL FRONT</t>
  </si>
  <si>
    <t>PMVM0101BAF06140-I</t>
  </si>
  <si>
    <t>REINFORCEMENT BEZEL REAR</t>
  </si>
  <si>
    <t>PMVM0101EAF04070-I</t>
  </si>
  <si>
    <t>REINFORCEMENT ANCHRG LWR PLR B RH</t>
  </si>
  <si>
    <t>PMVM0101EAF03540-I</t>
  </si>
  <si>
    <t>REINFORCEMENT ANCHRG UPR RH</t>
  </si>
  <si>
    <t>PMVM0101BAF06300-V  </t>
  </si>
  <si>
    <t>PMVM0101BAF06300-I</t>
  </si>
  <si>
    <t>PANEL CROSS MEMBER FLOOR RH</t>
  </si>
  <si>
    <t>PMAM0101BAF06350-V</t>
  </si>
  <si>
    <t>PMAM0101BAF06350-I</t>
  </si>
  <si>
    <t>REINFORCEMENT FIRE EXTG</t>
  </si>
  <si>
    <t>PMAM0101BAF06380-V</t>
  </si>
  <si>
    <t>PMAM0101BAF06380-I</t>
  </si>
  <si>
    <t>BRACKET PAINT SKID MID</t>
  </si>
  <si>
    <t>PMVM0101BAF04920-I</t>
  </si>
  <si>
    <t>PNL MBR FLOOR FRT OTR RH</t>
  </si>
  <si>
    <t>PMVM0101BAF04950-I</t>
  </si>
  <si>
    <t>PANEL MBR FLOOR FRT INNER REAR</t>
  </si>
  <si>
    <t>PMVM0101EAF03960-I</t>
  </si>
  <si>
    <t>PANEL SPEAKER COVER RH</t>
  </si>
  <si>
    <t>Z101</t>
  </si>
  <si>
    <t>PMVM101BZ103090N-I</t>
  </si>
  <si>
    <t>REINF SEAT MOUNT CTR.1</t>
  </si>
  <si>
    <t>PMVM101EZ104350N-I</t>
  </si>
  <si>
    <t>PMVM102AZ101980N-I</t>
  </si>
  <si>
    <t>RINF HOOD HINGE RH</t>
  </si>
  <si>
    <t>PMVM101BZ102290N-I</t>
  </si>
  <si>
    <t>REINF 3RD ROW SEAT MOUNT</t>
  </si>
  <si>
    <t>PMVM101BZ102280N-I</t>
  </si>
  <si>
    <t>REINF SEAT MOUNT</t>
  </si>
  <si>
    <t>PMVM101EZ103320N-I</t>
  </si>
  <si>
    <t>REINF HINGE MTG UPR RH</t>
  </si>
  <si>
    <t>PMVM101EZ103330N-I</t>
  </si>
  <si>
    <t>REINF HINGE MTG UPR LH</t>
  </si>
  <si>
    <t>PMVM101EZ103340N-I</t>
  </si>
  <si>
    <t>REINF HINGE MTG LWR RH</t>
  </si>
  <si>
    <t>PMVM101EZ103350N-I</t>
  </si>
  <si>
    <t>REINF HINGE MTG LWR LH</t>
  </si>
  <si>
    <t>PMVM101BZ103470N-I</t>
  </si>
  <si>
    <t>REINF SEAT MOUNT INR</t>
  </si>
  <si>
    <t>PMVM102AZ102090N-I</t>
  </si>
  <si>
    <t>BRKT RINF BATTERY SUPPORT FRONT.1</t>
  </si>
  <si>
    <t>PMVM101BZ102200N-I</t>
  </si>
  <si>
    <t>PMVM101BZ102850N-I</t>
  </si>
  <si>
    <t xml:space="preserve">REINF SEAT MOUNT 1 </t>
  </si>
  <si>
    <t>PMVM102AZ102100N-I</t>
  </si>
  <si>
    <t>BRKT RINF BATTERY SUPPORT  REAR.1</t>
  </si>
  <si>
    <t>PMVM1401BAA35150-I</t>
  </si>
  <si>
    <t>BRACKET BATTERY SIDE SUPPORT 2</t>
  </si>
  <si>
    <t>PMVM1401BAA35140-I</t>
  </si>
  <si>
    <t>BRACKET BATTERY SIDE SUPPORT 1</t>
  </si>
  <si>
    <t>PMVM2302AZ100430-I</t>
  </si>
  <si>
    <t>FRONT FASCIA LOWER BRACKET RH</t>
  </si>
  <si>
    <t>PMVM2302AZ100440-I</t>
  </si>
  <si>
    <t>FRONT FASCIA LOWER BRACKET LH</t>
  </si>
  <si>
    <t>PMVM0101BZ104620-I</t>
  </si>
  <si>
    <t>NUT PLATE SEAT BELT MTG RR</t>
  </si>
  <si>
    <t>PMVM2302BZ100300-I</t>
  </si>
  <si>
    <t>BRACKET REAR BUMPER CTR</t>
  </si>
  <si>
    <t>PMVM0101EZ105810-I</t>
  </si>
  <si>
    <t>REINFORCEMENT PILLAR B UPPER RH</t>
  </si>
  <si>
    <t>PMVM0101EZ105820-I</t>
  </si>
  <si>
    <t xml:space="preserve">REINFORCEMENT PILLAR B UPPER LH      </t>
  </si>
  <si>
    <t>PMVM102AZ101490N-I</t>
  </si>
  <si>
    <t>REIF IP CROSS CAR BEAM MTG RH</t>
  </si>
  <si>
    <t>PMVM102AZ101500N-I</t>
  </si>
  <si>
    <t>REIF IP CROSS CAR BEAM MTG LH</t>
  </si>
  <si>
    <t>PMVM1801FZ100040-I</t>
  </si>
  <si>
    <t>BRACKET FUSE BOX</t>
  </si>
  <si>
    <t>PMVM1401BAA35950-I</t>
  </si>
  <si>
    <t>BATTERY TRAY ADD ON BRACKET</t>
  </si>
  <si>
    <t>PMVM0103AC100560-I</t>
  </si>
  <si>
    <t>BRACKET DOOR INNER HANDLE</t>
  </si>
  <si>
    <t>PMNA6101EAA00270NI</t>
  </si>
  <si>
    <t>PMNA7101DAL00060N</t>
  </si>
  <si>
    <t>PMNA7101BAL00010-I</t>
  </si>
  <si>
    <t>REINFORCEMENT</t>
  </si>
  <si>
    <t>PMNA7101DAL00060N/50N</t>
  </si>
  <si>
    <t>PMVM0101BAZ1640N-I</t>
  </si>
  <si>
    <t>NUT PLATE SEAT MTG FRT</t>
  </si>
  <si>
    <t>PMVM0101BAZ03380-I/90/3410/1830/40/50</t>
  </si>
  <si>
    <t>PTML284565708236-I</t>
  </si>
  <si>
    <t>ROOF CONDENSER MTG BKT</t>
  </si>
  <si>
    <t>PTML55506500M10120/121/122/134/156/157/159</t>
  </si>
  <si>
    <t>PTML265188508208-V</t>
  </si>
  <si>
    <t>PTML265188508208-I</t>
  </si>
  <si>
    <t>END COVER</t>
  </si>
  <si>
    <t>PTML284565108285-I</t>
  </si>
  <si>
    <t>ROOF BOW MEMBER</t>
  </si>
  <si>
    <t>PTML55506500M10120</t>
  </si>
  <si>
    <t>PTML555046803303-I</t>
  </si>
  <si>
    <t>L BRACKET</t>
  </si>
  <si>
    <t>PTML284588460107</t>
  </si>
  <si>
    <t xml:space="preserve">TML </t>
  </si>
  <si>
    <t>PTML284588708236-I</t>
  </si>
  <si>
    <t>STRIKER REINFORCEMENT LATCH</t>
  </si>
  <si>
    <t>PMAM61040M01</t>
  </si>
  <si>
    <t>PMAM61040M01-I</t>
  </si>
  <si>
    <t>RUBBER STOPPER</t>
  </si>
  <si>
    <t>PMAM0A0060330M01</t>
  </si>
  <si>
    <t>PMAM7530170D1-I</t>
  </si>
  <si>
    <t>FENDER LAMP COVER</t>
  </si>
  <si>
    <t>P112</t>
  </si>
  <si>
    <t>PMVM2302AAN01740-V</t>
  </si>
  <si>
    <t>PMVM2302AAN01740-I</t>
  </si>
  <si>
    <t>BRACKET BUMPER FRT LH-740</t>
  </si>
  <si>
    <t>PMVM2302AAN01990-I</t>
  </si>
  <si>
    <t>PMVM2302AAN01670-V</t>
  </si>
  <si>
    <t>PMVM2302AAN01670-I</t>
  </si>
  <si>
    <t>BRACKET BUMPER FRT RH-670</t>
  </si>
  <si>
    <t>PMVM2302AAN01730-V</t>
  </si>
  <si>
    <t>PMVM2302AAN01730-I</t>
  </si>
  <si>
    <t>BRACKET BUMPER FRT LH-730</t>
  </si>
  <si>
    <t>PMVM2302AAN01660-V</t>
  </si>
  <si>
    <t>PMVM2302AAN01660-I</t>
  </si>
  <si>
    <t>BRACKET BUMPER FRT RH-660</t>
  </si>
  <si>
    <t>PMVM2302AAN01720-V</t>
  </si>
  <si>
    <t>PMVM2302AAN01720-I</t>
  </si>
  <si>
    <t>BRACKET BUMPER FRT LH-720</t>
  </si>
  <si>
    <t>PMVM2302AAN01650-V</t>
  </si>
  <si>
    <t>PMVM2302AAN01650-I</t>
  </si>
  <si>
    <t>BRACKET BUMPER FRT RH-650</t>
  </si>
  <si>
    <t>PMVM2302AAN01690-V</t>
  </si>
  <si>
    <t>PMVM2302AAN01690-I</t>
  </si>
  <si>
    <t>BRACKET BUMPER FRT LH-690</t>
  </si>
  <si>
    <t>PMVM2302AAN01620-V</t>
  </si>
  <si>
    <t>PMVM2302AAN01620-I</t>
  </si>
  <si>
    <t>BRACKET BUMPER FRT RH-620</t>
  </si>
  <si>
    <t>PMVM2302AAN01680-V</t>
  </si>
  <si>
    <t>PMVM2302AAN01680-I</t>
  </si>
  <si>
    <t>BRACKET BUMPER FRT LH-680</t>
  </si>
  <si>
    <t>PMVM2302AAN01610-V</t>
  </si>
  <si>
    <t>PMVM2302AAN01610-I</t>
  </si>
  <si>
    <t>BRACKET BUMPER FRT RH-610</t>
  </si>
  <si>
    <t>EV</t>
  </si>
  <si>
    <t>PMVM2302BS200750-I</t>
  </si>
  <si>
    <t>PMVM2302BS200740-I</t>
  </si>
  <si>
    <t>PMVM2302BS200790-I</t>
  </si>
  <si>
    <t>PMVM2302BS200760-I</t>
  </si>
  <si>
    <t>PIAGGIO</t>
  </si>
  <si>
    <t>PPVP6A002686-I</t>
  </si>
  <si>
    <t>SUPPORTING BKT FOR CATCHER</t>
  </si>
  <si>
    <t>PPVP6A002661-I</t>
  </si>
  <si>
    <t>PPVP6A002660-I</t>
  </si>
  <si>
    <t>REINFORCEMENT RR CROSS MEMBER</t>
  </si>
  <si>
    <t>PPVP6A002673-I</t>
  </si>
  <si>
    <t>CROSS MEMBER REAR</t>
  </si>
  <si>
    <t>PPVP6A002676-I</t>
  </si>
  <si>
    <t>DOUBLER PLATE,AVM SUPPORT BKT.</t>
  </si>
  <si>
    <t>PPVP6A002082-I</t>
  </si>
  <si>
    <t>BKT. FOR PRESSURE SWI</t>
  </si>
  <si>
    <t>PPVP6A002674-I</t>
  </si>
  <si>
    <t>CROSS MEMBER REAR LH SUPPORT</t>
  </si>
  <si>
    <t>PPVP6A002675-I</t>
  </si>
  <si>
    <t>CROSS MEMBER REAR RH SUPPORT</t>
  </si>
  <si>
    <t>PPVP6A002638-I</t>
  </si>
  <si>
    <t>REAR AVM SUP BRACKET</t>
  </si>
  <si>
    <t>W616</t>
  </si>
  <si>
    <t>PMAM0101BW605780-I</t>
  </si>
  <si>
    <t>BRACKET SUBWOOFER MOUNTING FRT</t>
  </si>
  <si>
    <t>PMAM0101BW605830-I</t>
  </si>
  <si>
    <t>PMAM0101BW605790-I</t>
  </si>
  <si>
    <t>BRKT HVAC DUCT LH</t>
  </si>
  <si>
    <t>PMAM0101BW605800-I</t>
  </si>
  <si>
    <t>BRACKET SUBWOOFER MOUNTING RR</t>
  </si>
  <si>
    <t>PMAM0101BW605810-I</t>
  </si>
  <si>
    <t>BRKT SUPPORT RQT MTG</t>
  </si>
  <si>
    <t>TML-HATRACK</t>
  </si>
  <si>
    <t>PTML284565103336-I</t>
  </si>
  <si>
    <t>Bracket  3336</t>
  </si>
  <si>
    <t>PTML55506500M10156/PTML55506510M10193</t>
  </si>
  <si>
    <t>PTML284565103330-I</t>
  </si>
  <si>
    <t>Bracket 3330</t>
  </si>
  <si>
    <t>PTML284565108292-I</t>
  </si>
  <si>
    <t>BRACKET AC UNIT MTG LH</t>
  </si>
  <si>
    <t>PTML284565103344-I</t>
  </si>
  <si>
    <t>RACKET 3344</t>
  </si>
  <si>
    <t>PTML55506500M10121/22/26/56/57/59/PTML55506510M10134</t>
  </si>
  <si>
    <t>PTML284565103342-I</t>
  </si>
  <si>
    <t>Bracket AC unit MTG  LH 3342</t>
  </si>
  <si>
    <t>.</t>
  </si>
  <si>
    <t>Total</t>
  </si>
  <si>
    <t>M/C Capacity / Shift</t>
  </si>
  <si>
    <t>No of Shifts req / Month</t>
  </si>
  <si>
    <t>No of Shifts req / Per day</t>
  </si>
  <si>
    <t>M/C Capacity / 3 ShiftS</t>
  </si>
  <si>
    <t>DAYS IN MONTH</t>
  </si>
  <si>
    <t>TOTAL</t>
  </si>
  <si>
    <t>WITHOUT OPENING STROKES requirement</t>
  </si>
  <si>
    <t>CURVV</t>
  </si>
  <si>
    <t>OPENING STROKES</t>
  </si>
  <si>
    <t>COIL FEEDER BLANKING</t>
  </si>
  <si>
    <t>PTML543861608205-I</t>
  </si>
  <si>
    <t>SPACER COCKPIT MTG SIDE LH</t>
  </si>
  <si>
    <t>PTML54726000UR1105</t>
  </si>
  <si>
    <t>PTML543861608206-I</t>
  </si>
  <si>
    <t>SPACER COCKPIT MTG SIDE RH</t>
  </si>
  <si>
    <t>PTML54726000UR1104</t>
  </si>
  <si>
    <t>PTML543863208246-I</t>
  </si>
  <si>
    <t>HINGE REINFORCEMENT A-PILLAR TOP LH</t>
  </si>
  <si>
    <t>PTML54716000UR1105</t>
  </si>
  <si>
    <t>PTML543863218221-I</t>
  </si>
  <si>
    <t>HINGE REINFORCEMENT A-PILLAR TOP RH</t>
  </si>
  <si>
    <t>PTML54716000UR1104</t>
  </si>
  <si>
    <t>PTML543863218217-I</t>
  </si>
  <si>
    <t>REINFORCEMENT GUSSET LH</t>
  </si>
  <si>
    <t>PTML54646000BS1101</t>
  </si>
  <si>
    <t>PTML543863218218-I</t>
  </si>
  <si>
    <t>REINFORCEMENT GUSSET RH</t>
  </si>
  <si>
    <t>PTML54646000BS2101</t>
  </si>
  <si>
    <t>PTML543863218207-I</t>
  </si>
  <si>
    <t>REINFORCEMENT JACKING POINT LH</t>
  </si>
  <si>
    <t>PTML543863218208-I</t>
  </si>
  <si>
    <t>REINFORCEMENT JACKING POINT RH</t>
  </si>
  <si>
    <t>PTML543863218219-I</t>
  </si>
  <si>
    <t>PTML543863218220-I</t>
  </si>
  <si>
    <t>PTML547261808202-I</t>
  </si>
  <si>
    <t>BRACKET REAR BRAKE HOSE ASSY MTG LH</t>
  </si>
  <si>
    <t>PTML547261808203-I</t>
  </si>
  <si>
    <t>BRACKET REAR BRAKE HOSE ASSY MTG RH</t>
  </si>
  <si>
    <t>PTML542261103301-I</t>
  </si>
  <si>
    <t>REINF CONNECTING TUBE BOTTOM LH</t>
  </si>
  <si>
    <t>PTML542261103302-I</t>
  </si>
  <si>
    <t>REINF CONNECTING TUBE BOTTOM RH</t>
  </si>
  <si>
    <t>PTML544261108237-I</t>
  </si>
  <si>
    <t>BRACKET WHEEL SPEED SENSOR MTG REAR LH</t>
  </si>
  <si>
    <t>PTML547161808238-I</t>
  </si>
  <si>
    <t>BRACKET FUEL PIPE MTG</t>
  </si>
  <si>
    <t>PTML547161808213-I</t>
  </si>
  <si>
    <t>PTML547161808214-I</t>
  </si>
  <si>
    <t>PNL RR LONGI INR SWW SUPPORT RH</t>
  </si>
  <si>
    <t>PTML547161808215-I</t>
  </si>
  <si>
    <t>REINFORCEMENT FLOOR</t>
  </si>
  <si>
    <t>PTML543861108236-I</t>
  </si>
  <si>
    <t>REINFORCEMENT LONGITUDINAL CENTER LH</t>
  </si>
  <si>
    <t>PTML543861108237-I</t>
  </si>
  <si>
    <t>REINFORCEMENT LONGITUDINAL CENTER RH</t>
  </si>
  <si>
    <t>PTML543861108238-I</t>
  </si>
  <si>
    <t>BRACKET LH</t>
  </si>
  <si>
    <t>PTML543861108239-I</t>
  </si>
  <si>
    <t>BRACKET RH</t>
  </si>
  <si>
    <t>PTML547161108227-I</t>
  </si>
  <si>
    <t>CUP REAR SUSPENSION SPRING MTG</t>
  </si>
  <si>
    <t>PTML547161108228-I</t>
  </si>
  <si>
    <t>PTML547161108229-I</t>
  </si>
  <si>
    <t>REINF BKT LONGITUDINAL MEMBER REAR LH</t>
  </si>
  <si>
    <t>PTML547161108230-I</t>
  </si>
  <si>
    <t>REINF BK  LONGITUDINAL MEMBER REAR RH</t>
  </si>
  <si>
    <t>PTML543861108240-I</t>
  </si>
  <si>
    <t>GUSSET LH</t>
  </si>
  <si>
    <t>PTML543861108241-I</t>
  </si>
  <si>
    <t>GUSSET RH</t>
  </si>
  <si>
    <t>PTML542261208216-I</t>
  </si>
  <si>
    <t>CROSS MBR REAR FLOOR RR LH</t>
  </si>
  <si>
    <t>PTML542261208217-I</t>
  </si>
  <si>
    <t>CROSS MBR REAR FLOOR RR RH</t>
  </si>
  <si>
    <t>PTML543861103305-I</t>
  </si>
  <si>
    <t>REINFORCEMENT PIVOT MTG BRACKET LH</t>
  </si>
  <si>
    <t>PTML543861103306-I</t>
  </si>
  <si>
    <t>REINFORCEMENT PIVOT MTG BRACKET RH</t>
  </si>
  <si>
    <t>PTML543861103309-I</t>
  </si>
  <si>
    <t>LONGITUDINAL EXTENSION LH</t>
  </si>
  <si>
    <t>PTML543861103310-I</t>
  </si>
  <si>
    <t>LONGITUDINAL EXTENSION RH</t>
  </si>
  <si>
    <t>PTML543861108203-I</t>
  </si>
  <si>
    <t>DIAPHARM PIVOT MTG REAR LH</t>
  </si>
  <si>
    <t>PTML543861108204-I</t>
  </si>
  <si>
    <t>DIAPHARM PIVOT MTG REAR RH</t>
  </si>
  <si>
    <t>PTML543861103301-I</t>
  </si>
  <si>
    <t>REINFORCEMENT BRACKET LH</t>
  </si>
  <si>
    <t>PTML543861103302-I</t>
  </si>
  <si>
    <t>REINFORCEMENT BRACKET RH</t>
  </si>
  <si>
    <t>PTML542142803300-I</t>
  </si>
  <si>
    <t>WSS BRACKET ON REAR LONGITUDINAL MEMBER</t>
  </si>
  <si>
    <t>PTML287161308258-I</t>
  </si>
  <si>
    <t>REINF EXHAUST MTG REAR LONGITUDINAL</t>
  </si>
  <si>
    <t>PTML287461308219-I</t>
  </si>
  <si>
    <t>REINF EXH MTG LONG MBR RH REAR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</si>
</sst>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.5"/>
      <name val="Verdana"/>
      <family val="2"/>
    </font>
    <font>
      <sz val="10"/>
      <name val="Calibri"/>
      <family val="2"/>
      <scheme val="minor"/>
    </font>
    <font>
      <sz val="9"/>
      <color indexed="8"/>
      <name val="Tahoma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4" fontId="6" fillId="0" borderId="0"/>
  </cellStyleXfs>
  <cellXfs count="118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/>
    </xf>
    <xf numFmtId="0" fontId="1" fillId="2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/>
    </xf>
    <xf numFmtId="0" fontId="1" fillId="2" borderId="0" xfId="1" applyFill="1"/>
    <xf numFmtId="0" fontId="3" fillId="0" borderId="2" xfId="1" applyFont="1" applyBorder="1" applyAlignment="1">
      <alignment horizontal="center" vertical="center"/>
    </xf>
    <xf numFmtId="0" fontId="4" fillId="0" borderId="2" xfId="0" applyFont="1" applyBorder="1"/>
    <xf numFmtId="0" fontId="3" fillId="0" borderId="2" xfId="1" applyFont="1" applyBorder="1"/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/>
    <xf numFmtId="0" fontId="1" fillId="0" borderId="2" xfId="2" applyBorder="1" applyAlignment="1" applyProtection="1">
      <alignment horizontal="center" vertical="center"/>
      <protection hidden="1"/>
    </xf>
    <xf numFmtId="1" fontId="5" fillId="0" borderId="2" xfId="1" applyNumberFormat="1" applyFont="1" applyBorder="1" applyAlignment="1">
      <alignment horizontal="center"/>
    </xf>
    <xf numFmtId="0" fontId="1" fillId="0" borderId="2" xfId="1" applyBorder="1"/>
    <xf numFmtId="1" fontId="4" fillId="0" borderId="2" xfId="0" applyNumberFormat="1" applyFont="1" applyBorder="1"/>
    <xf numFmtId="0" fontId="4" fillId="4" borderId="2" xfId="0" applyFont="1" applyFill="1" applyBorder="1"/>
    <xf numFmtId="0" fontId="3" fillId="0" borderId="1" xfId="1" applyFont="1" applyBorder="1" applyAlignment="1">
      <alignment horizontal="center" vertical="center"/>
    </xf>
    <xf numFmtId="0" fontId="4" fillId="0" borderId="1" xfId="0" applyFont="1" applyBorder="1"/>
    <xf numFmtId="0" fontId="4" fillId="4" borderId="1" xfId="0" applyFont="1" applyFill="1" applyBorder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1" fillId="0" borderId="3" xfId="1" applyBorder="1"/>
    <xf numFmtId="0" fontId="1" fillId="5" borderId="2" xfId="1" applyFill="1" applyBorder="1"/>
    <xf numFmtId="0" fontId="0" fillId="0" borderId="6" xfId="0" applyBorder="1"/>
    <xf numFmtId="0" fontId="0" fillId="6" borderId="6" xfId="0" applyFill="1" applyBorder="1"/>
    <xf numFmtId="0" fontId="4" fillId="7" borderId="2" xfId="0" applyFont="1" applyFill="1" applyBorder="1"/>
    <xf numFmtId="0" fontId="4" fillId="7" borderId="1" xfId="0" applyFont="1" applyFill="1" applyBorder="1"/>
    <xf numFmtId="0" fontId="0" fillId="0" borderId="7" xfId="0" applyBorder="1" applyAlignment="1">
      <alignment horizontal="left"/>
    </xf>
    <xf numFmtId="1" fontId="4" fillId="4" borderId="2" xfId="0" applyNumberFormat="1" applyFont="1" applyFill="1" applyBorder="1"/>
    <xf numFmtId="1" fontId="6" fillId="4" borderId="2" xfId="0" applyNumberFormat="1" applyFont="1" applyFill="1" applyBorder="1" applyAlignment="1">
      <alignment horizontal="left"/>
    </xf>
    <xf numFmtId="0" fontId="3" fillId="4" borderId="1" xfId="1" applyFont="1" applyFill="1" applyBorder="1" applyAlignment="1">
      <alignment horizontal="center" vertical="center"/>
    </xf>
    <xf numFmtId="1" fontId="7" fillId="4" borderId="5" xfId="0" applyNumberFormat="1" applyFont="1" applyFill="1" applyBorder="1" applyAlignment="1">
      <alignment vertical="center"/>
    </xf>
    <xf numFmtId="1" fontId="7" fillId="0" borderId="2" xfId="3" applyNumberFormat="1" applyFont="1" applyBorder="1" applyAlignment="1">
      <alignment vertical="center"/>
    </xf>
    <xf numFmtId="1" fontId="7" fillId="0" borderId="2" xfId="4" applyNumberFormat="1" applyFont="1" applyBorder="1" applyAlignment="1">
      <alignment vertical="center"/>
    </xf>
    <xf numFmtId="0" fontId="3" fillId="4" borderId="2" xfId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vertical="center"/>
    </xf>
    <xf numFmtId="1" fontId="7" fillId="0" borderId="8" xfId="5" applyNumberFormat="1" applyFont="1" applyBorder="1" applyAlignment="1">
      <alignment vertical="center"/>
    </xf>
    <xf numFmtId="0" fontId="1" fillId="0" borderId="7" xfId="2" applyBorder="1" applyAlignment="1" applyProtection="1">
      <alignment horizontal="center" vertical="center"/>
      <protection hidden="1"/>
    </xf>
    <xf numFmtId="0" fontId="8" fillId="4" borderId="2" xfId="0" applyFont="1" applyFill="1" applyBorder="1"/>
    <xf numFmtId="1" fontId="3" fillId="0" borderId="2" xfId="1" applyNumberFormat="1" applyFont="1" applyBorder="1"/>
    <xf numFmtId="0" fontId="0" fillId="0" borderId="9" xfId="0" applyBorder="1"/>
    <xf numFmtId="0" fontId="9" fillId="0" borderId="0" xfId="0" applyFont="1"/>
    <xf numFmtId="0" fontId="0" fillId="0" borderId="7" xfId="0" applyBorder="1"/>
    <xf numFmtId="0" fontId="9" fillId="4" borderId="0" xfId="0" applyFont="1" applyFill="1"/>
    <xf numFmtId="1" fontId="7" fillId="4" borderId="8" xfId="0" applyNumberFormat="1" applyFont="1" applyFill="1" applyBorder="1" applyAlignment="1">
      <alignment vertical="center"/>
    </xf>
    <xf numFmtId="0" fontId="1" fillId="0" borderId="1" xfId="1" applyBorder="1"/>
    <xf numFmtId="1" fontId="4" fillId="0" borderId="7" xfId="0" applyNumberFormat="1" applyFont="1" applyBorder="1" applyAlignment="1">
      <alignment horizontal="left"/>
    </xf>
    <xf numFmtId="0" fontId="1" fillId="8" borderId="0" xfId="1" applyFill="1"/>
    <xf numFmtId="0" fontId="1" fillId="5" borderId="2" xfId="1" applyFill="1" applyBorder="1" applyAlignment="1">
      <alignment horizontal="right"/>
    </xf>
    <xf numFmtId="1" fontId="3" fillId="0" borderId="2" xfId="1" applyNumberFormat="1" applyFont="1" applyBorder="1" applyAlignment="1">
      <alignment horizontal="center" vertical="center"/>
    </xf>
    <xf numFmtId="2" fontId="10" fillId="0" borderId="2" xfId="6" applyNumberFormat="1" applyFont="1" applyBorder="1" applyAlignment="1" applyProtection="1">
      <alignment horizontal="left" vertical="center"/>
      <protection hidden="1"/>
    </xf>
    <xf numFmtId="0" fontId="1" fillId="8" borderId="2" xfId="1" applyFill="1" applyBorder="1"/>
    <xf numFmtId="0" fontId="3" fillId="9" borderId="2" xfId="1" applyFont="1" applyFill="1" applyBorder="1" applyAlignment="1">
      <alignment horizontal="center"/>
    </xf>
    <xf numFmtId="1" fontId="3" fillId="4" borderId="2" xfId="1" applyNumberFormat="1" applyFont="1" applyFill="1" applyBorder="1" applyAlignment="1">
      <alignment horizontal="center" vertical="center"/>
    </xf>
    <xf numFmtId="2" fontId="10" fillId="4" borderId="2" xfId="6" applyNumberFormat="1" applyFont="1" applyFill="1" applyBorder="1" applyAlignment="1" applyProtection="1">
      <alignment horizontal="left" vertical="center"/>
      <protection hidden="1"/>
    </xf>
    <xf numFmtId="0" fontId="9" fillId="8" borderId="0" xfId="0" applyFont="1" applyFill="1"/>
    <xf numFmtId="1" fontId="3" fillId="10" borderId="2" xfId="1" applyNumberFormat="1" applyFont="1" applyFill="1" applyBorder="1" applyAlignment="1">
      <alignment horizontal="center" vertical="center"/>
    </xf>
    <xf numFmtId="0" fontId="6" fillId="0" borderId="2" xfId="7" applyBorder="1" applyAlignment="1">
      <alignment vertical="center"/>
    </xf>
    <xf numFmtId="0" fontId="6" fillId="8" borderId="2" xfId="7" applyFill="1" applyBorder="1" applyAlignment="1">
      <alignment vertical="center"/>
    </xf>
    <xf numFmtId="2" fontId="10" fillId="8" borderId="2" xfId="6" applyNumberFormat="1" applyFont="1" applyFill="1" applyBorder="1" applyAlignment="1" applyProtection="1">
      <alignment horizontal="center" vertical="center"/>
      <protection hidden="1"/>
    </xf>
    <xf numFmtId="2" fontId="10" fillId="8" borderId="2" xfId="6" applyNumberFormat="1" applyFont="1" applyFill="1" applyBorder="1" applyAlignment="1" applyProtection="1">
      <alignment horizontal="left" vertical="center"/>
      <protection hidden="1"/>
    </xf>
    <xf numFmtId="0" fontId="1" fillId="0" borderId="1" xfId="2" applyBorder="1" applyAlignment="1" applyProtection="1">
      <alignment horizontal="center" vertical="center"/>
      <protection hidden="1"/>
    </xf>
    <xf numFmtId="1" fontId="3" fillId="11" borderId="2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2" fontId="10" fillId="0" borderId="5" xfId="6" applyNumberFormat="1" applyFont="1" applyBorder="1" applyAlignment="1" applyProtection="1">
      <alignment horizontal="left" vertical="center"/>
      <protection hidden="1"/>
    </xf>
    <xf numFmtId="1" fontId="4" fillId="0" borderId="4" xfId="0" applyNumberFormat="1" applyFont="1" applyBorder="1"/>
    <xf numFmtId="1" fontId="3" fillId="0" borderId="5" xfId="1" applyNumberFormat="1" applyFont="1" applyBorder="1"/>
    <xf numFmtId="0" fontId="1" fillId="0" borderId="5" xfId="1" applyBorder="1"/>
    <xf numFmtId="0" fontId="1" fillId="0" borderId="10" xfId="1" applyBorder="1"/>
    <xf numFmtId="1" fontId="4" fillId="0" borderId="2" xfId="0" applyNumberFormat="1" applyFont="1" applyBorder="1" applyAlignment="1">
      <alignment horizontal="left"/>
    </xf>
    <xf numFmtId="1" fontId="3" fillId="11" borderId="1" xfId="1" applyNumberFormat="1" applyFont="1" applyFill="1" applyBorder="1" applyAlignment="1">
      <alignment horizontal="center" vertical="center"/>
    </xf>
    <xf numFmtId="2" fontId="10" fillId="0" borderId="1" xfId="6" applyNumberFormat="1" applyFont="1" applyBorder="1" applyAlignment="1" applyProtection="1">
      <alignment horizontal="left" vertical="center"/>
      <protection hidden="1"/>
    </xf>
    <xf numFmtId="2" fontId="10" fillId="0" borderId="2" xfId="8" applyNumberFormat="1" applyFont="1" applyBorder="1" applyAlignment="1" applyProtection="1">
      <alignment horizontal="left" vertical="center"/>
      <protection hidden="1"/>
    </xf>
    <xf numFmtId="0" fontId="1" fillId="0" borderId="11" xfId="1" applyBorder="1"/>
    <xf numFmtId="1" fontId="1" fillId="0" borderId="2" xfId="1" applyNumberFormat="1" applyBorder="1"/>
    <xf numFmtId="2" fontId="10" fillId="0" borderId="7" xfId="6" applyNumberFormat="1" applyFont="1" applyBorder="1" applyAlignment="1" applyProtection="1">
      <alignment horizontal="left" vertical="center"/>
      <protection hidden="1"/>
    </xf>
    <xf numFmtId="1" fontId="3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left" vertical="center"/>
    </xf>
    <xf numFmtId="0" fontId="1" fillId="5" borderId="2" xfId="1" applyFill="1" applyBorder="1" applyAlignment="1">
      <alignment horizontal="center"/>
    </xf>
    <xf numFmtId="2" fontId="10" fillId="0" borderId="4" xfId="6" applyNumberFormat="1" applyFont="1" applyBorder="1" applyAlignment="1" applyProtection="1">
      <alignment horizontal="left" vertical="center"/>
      <protection hidden="1"/>
    </xf>
    <xf numFmtId="2" fontId="10" fillId="4" borderId="4" xfId="6" applyNumberFormat="1" applyFont="1" applyFill="1" applyBorder="1" applyAlignment="1" applyProtection="1">
      <alignment horizontal="left" vertical="center"/>
      <protection hidden="1"/>
    </xf>
    <xf numFmtId="1" fontId="3" fillId="0" borderId="1" xfId="1" applyNumberFormat="1" applyFont="1" applyBorder="1" applyAlignment="1">
      <alignment horizontal="center"/>
    </xf>
    <xf numFmtId="0" fontId="0" fillId="0" borderId="2" xfId="0" applyBorder="1"/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3" fillId="0" borderId="0" xfId="1" applyNumberFormat="1" applyFont="1"/>
    <xf numFmtId="1" fontId="3" fillId="0" borderId="4" xfId="1" applyNumberFormat="1" applyFont="1" applyBorder="1"/>
    <xf numFmtId="0" fontId="1" fillId="0" borderId="4" xfId="1" applyBorder="1" applyAlignment="1">
      <alignment horizontal="center"/>
    </xf>
    <xf numFmtId="0" fontId="1" fillId="0" borderId="4" xfId="2" applyBorder="1" applyAlignment="1" applyProtection="1">
      <alignment horizontal="center" vertical="center"/>
      <protection hidden="1"/>
    </xf>
    <xf numFmtId="1" fontId="5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1" fontId="1" fillId="3" borderId="0" xfId="1" applyNumberFormat="1" applyFill="1"/>
    <xf numFmtId="0" fontId="1" fillId="12" borderId="0" xfId="1" applyFill="1" applyAlignment="1">
      <alignment horizontal="center"/>
    </xf>
    <xf numFmtId="0" fontId="1" fillId="8" borderId="0" xfId="1" applyFill="1" applyAlignment="1">
      <alignment horizontal="center"/>
    </xf>
    <xf numFmtId="165" fontId="1" fillId="3" borderId="0" xfId="1" applyNumberFormat="1" applyFill="1" applyAlignment="1">
      <alignment horizontal="center"/>
    </xf>
    <xf numFmtId="0" fontId="1" fillId="3" borderId="0" xfId="1" applyFill="1" applyAlignment="1">
      <alignment horizontal="center"/>
    </xf>
    <xf numFmtId="165" fontId="1" fillId="0" borderId="0" xfId="1" applyNumberFormat="1" applyAlignment="1">
      <alignment horizontal="center"/>
    </xf>
    <xf numFmtId="17" fontId="2" fillId="0" borderId="2" xfId="1" applyNumberFormat="1" applyFont="1" applyBorder="1"/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13" borderId="2" xfId="1" applyFill="1" applyBorder="1" applyAlignment="1">
      <alignment horizontal="center"/>
    </xf>
    <xf numFmtId="1" fontId="1" fillId="0" borderId="2" xfId="1" applyNumberForma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1" fillId="9" borderId="2" xfId="1" applyFill="1" applyBorder="1" applyAlignment="1">
      <alignment horizontal="center"/>
    </xf>
    <xf numFmtId="0" fontId="1" fillId="8" borderId="2" xfId="1" applyFill="1" applyBorder="1" applyAlignment="1">
      <alignment horizontal="center"/>
    </xf>
  </cellXfs>
  <cellStyles count="9">
    <cellStyle name="Normal" xfId="0" builtinId="0"/>
    <cellStyle name="Normal 2 10" xfId="7" xr:uid="{D1B19FD2-E433-48C9-84AC-02055F4E942F}"/>
    <cellStyle name="Normal 3 2" xfId="1" xr:uid="{84C12567-8554-4675-AFF9-433E8879A743}"/>
    <cellStyle name="Normal 54" xfId="8" xr:uid="{2AED9816-F4D4-4C5A-BC39-F7DABDB39D5A}"/>
    <cellStyle name="Normal 55" xfId="6" xr:uid="{5C1FAC6A-C1D1-45BE-947B-DD9F155E704F}"/>
    <cellStyle name="Normal 71" xfId="3" xr:uid="{64B8DB47-8642-4EF1-A0C6-184C065CD99E}"/>
    <cellStyle name="Normal 72" xfId="4" xr:uid="{E80B3818-AFC9-455B-AA9D-D7BDC4AC021D}"/>
    <cellStyle name="Normal 74" xfId="5" xr:uid="{C5161FDF-8CE6-4558-983B-5F1B42D19EC3}"/>
    <cellStyle name="Normal 76" xfId="2" xr:uid="{B6102D97-4FE6-4EC0-A2D4-BD54534C1259}"/>
  </cellStyles>
  <dxfs count="1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jsx1\Downloads\lps_system\LPS%20G%20CHART%20APRIL'2026.xlsx" TargetMode="External"/><Relationship Id="rId1" Type="http://schemas.openxmlformats.org/officeDocument/2006/relationships/externalLinkPath" Target="LPS%20G%20CHART%20APRIL'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Mane (2)"/>
      <sheetName val="Coverage Roport"/>
      <sheetName val="PIVOT"/>
      <sheetName val="coil material"/>
      <sheetName val="Summery"/>
      <sheetName val="LPS STOCK"/>
      <sheetName val="Sheet3"/>
      <sheetName val="Week wise plan"/>
      <sheetName val="C CLASS"/>
      <sheetName val="PHY STOCK Dorle sir"/>
      <sheetName val="OFFLOADING PLAN"/>
      <sheetName val="Capacity"/>
      <sheetName val="MB52"/>
      <sheetName val="Mane"/>
      <sheetName val="G-Chart"/>
      <sheetName val="Dispatch"/>
      <sheetName val="Strokes"/>
      <sheetName val="RM"/>
      <sheetName val="Curvv"/>
      <sheetName val="P112"/>
      <sheetName val="P113 Assly"/>
      <sheetName val="Z101 &amp;PIAGGIO"/>
      <sheetName val="W601 &amp; W601 Assly"/>
      <sheetName val="Coil feeder"/>
      <sheetName val="TML Xenon"/>
      <sheetName val="Saleble parts"/>
      <sheetName val="BOP"/>
      <sheetName val="Week"/>
      <sheetName val="XUV, KUV, TML, MPV, MTBL"/>
      <sheetName val="W601 CAP"/>
      <sheetName val="RM Stock W60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D3" t="str">
            <v>PMAM0102AAW00690-I</v>
          </cell>
        </row>
        <row r="4">
          <cell r="D4" t="str">
            <v>PMAM0102AAW00680-I</v>
          </cell>
        </row>
        <row r="5">
          <cell r="D5" t="str">
            <v>PMAM0102AAW01380-I</v>
          </cell>
        </row>
        <row r="6">
          <cell r="D6" t="str">
            <v>PMVM0102AAW04990-I</v>
          </cell>
        </row>
        <row r="7">
          <cell r="D7" t="str">
            <v>PMAM0102AW0610N-I</v>
          </cell>
        </row>
        <row r="8">
          <cell r="D8" t="str">
            <v>PMAM0101EW1360N</v>
          </cell>
        </row>
        <row r="9">
          <cell r="D9" t="str">
            <v>PMAM0101EW1370N</v>
          </cell>
        </row>
        <row r="10">
          <cell r="D10" t="str">
            <v>PMAM0102AW06100N-I</v>
          </cell>
        </row>
        <row r="11">
          <cell r="D11" t="str">
            <v>PMAM0102AW0670N-I</v>
          </cell>
        </row>
        <row r="12">
          <cell r="D12" t="str">
            <v>PMAM0102AAW01360-I</v>
          </cell>
        </row>
        <row r="13">
          <cell r="D13" t="str">
            <v>PMAM0102AAW01470-I</v>
          </cell>
        </row>
        <row r="14">
          <cell r="D14" t="str">
            <v>PMAM0102AAW01770N</v>
          </cell>
        </row>
        <row r="15">
          <cell r="D15" t="str">
            <v>PMAM0102AAW02640-I</v>
          </cell>
        </row>
        <row r="16">
          <cell r="D16" t="str">
            <v>PMAM0102AW0630N-I</v>
          </cell>
        </row>
        <row r="17">
          <cell r="D17" t="str">
            <v>PMAM0101EW1440N-I</v>
          </cell>
        </row>
        <row r="18">
          <cell r="D18" t="str">
            <v>PMAM0101EW14100N-I</v>
          </cell>
        </row>
        <row r="19">
          <cell r="D19" t="str">
            <v>PMVL0102AAW02420N</v>
          </cell>
        </row>
        <row r="20">
          <cell r="D20" t="str">
            <v>PMVM0102AAW02510N</v>
          </cell>
        </row>
        <row r="21">
          <cell r="D21" t="str">
            <v>PMAM0102AAW01100NI</v>
          </cell>
        </row>
        <row r="22">
          <cell r="D22" t="str">
            <v>PMAM0102AAW01760NI</v>
          </cell>
        </row>
        <row r="23">
          <cell r="D23" t="str">
            <v>PMVM0102AAW01100-I</v>
          </cell>
        </row>
        <row r="24">
          <cell r="D24" t="str">
            <v>PMAM0101BAW08590N</v>
          </cell>
        </row>
        <row r="25">
          <cell r="D25" t="str">
            <v>PMVL0102AAW02440N</v>
          </cell>
        </row>
        <row r="26">
          <cell r="D26" t="str">
            <v>PMVL0102AAW02460N</v>
          </cell>
        </row>
        <row r="27">
          <cell r="D27" t="str">
            <v>PMVL0102AAW2380N-V</v>
          </cell>
        </row>
        <row r="28">
          <cell r="D28" t="str">
            <v>PMVM0102AAW025100N</v>
          </cell>
        </row>
        <row r="29">
          <cell r="D29" t="str">
            <v>PMVM0101EAR158100-I</v>
          </cell>
        </row>
        <row r="30">
          <cell r="D30" t="str">
            <v>PMVM0101EAR15860-I</v>
          </cell>
        </row>
        <row r="31">
          <cell r="D31" t="str">
            <v>PMVM0101EAR15900-I</v>
          </cell>
        </row>
        <row r="32">
          <cell r="D32" t="str">
            <v>PMVM0101EAR3120N-I</v>
          </cell>
        </row>
        <row r="33">
          <cell r="D33" t="str">
            <v>PMVM0101EAR3060N-I</v>
          </cell>
        </row>
        <row r="34">
          <cell r="D34" t="str">
            <v>PMVM0101EAZ1160N-I</v>
          </cell>
        </row>
        <row r="35">
          <cell r="D35" t="str">
            <v>PMVM0101EAZ11100N-I</v>
          </cell>
        </row>
        <row r="36">
          <cell r="D36" t="str">
            <v>PMVM0101EAZ0520N-I</v>
          </cell>
        </row>
        <row r="37">
          <cell r="D37" t="str">
            <v>PMVM0101EAZ0530N-I</v>
          </cell>
        </row>
        <row r="38">
          <cell r="D38" t="str">
            <v>PTML284562200130PH</v>
          </cell>
        </row>
        <row r="39">
          <cell r="D39" t="str">
            <v>PTML284562208251-I</v>
          </cell>
        </row>
        <row r="40">
          <cell r="D40" t="str">
            <v>PTML284562608268-I</v>
          </cell>
        </row>
        <row r="41">
          <cell r="D41" t="str">
            <v>PTML284588108206-I</v>
          </cell>
        </row>
        <row r="42">
          <cell r="D42" t="str">
            <v>PTML284588108207-I</v>
          </cell>
        </row>
        <row r="43">
          <cell r="D43" t="str">
            <v>PTML284588708260-I</v>
          </cell>
        </row>
        <row r="44">
          <cell r="D44" t="str">
            <v>PTML284588708261-I</v>
          </cell>
        </row>
        <row r="45">
          <cell r="D45" t="str">
            <v>PTML284588708271-I</v>
          </cell>
        </row>
        <row r="46">
          <cell r="D46" t="str">
            <v>PTML284588708272-I</v>
          </cell>
        </row>
        <row r="47">
          <cell r="D47" t="str">
            <v>PTML284588708247-I</v>
          </cell>
        </row>
        <row r="48">
          <cell r="D48" t="str">
            <v>PTML284588708248-I</v>
          </cell>
        </row>
        <row r="49">
          <cell r="D49" t="str">
            <v>PTML2674881008230-I</v>
          </cell>
        </row>
        <row r="50">
          <cell r="D50" t="str">
            <v>PTML2674881008231-I</v>
          </cell>
        </row>
        <row r="51">
          <cell r="D51" t="str">
            <v>PTML284562208241-I</v>
          </cell>
        </row>
        <row r="52">
          <cell r="D52" t="str">
            <v>PMVM0102AU303670-I</v>
          </cell>
        </row>
        <row r="53">
          <cell r="D53" t="str">
            <v>PMNA6101EAA00380N</v>
          </cell>
        </row>
        <row r="54">
          <cell r="D54" t="str">
            <v>PMNA6101BAA0060N</v>
          </cell>
        </row>
        <row r="55">
          <cell r="D55" t="str">
            <v>PMNA6103BAA00220NI</v>
          </cell>
        </row>
        <row r="56">
          <cell r="D56" t="str">
            <v>PMNA6103BAA00230NI</v>
          </cell>
        </row>
        <row r="57">
          <cell r="D57" t="str">
            <v>PMNA6103AAA00170N</v>
          </cell>
        </row>
        <row r="58">
          <cell r="D58" t="str">
            <v>PMVM6103AAA00320-I</v>
          </cell>
        </row>
        <row r="59">
          <cell r="D59" t="str">
            <v>PMVM6103AAA00260-I</v>
          </cell>
        </row>
        <row r="60">
          <cell r="D60" t="str">
            <v>PMNA6103AAA00180N</v>
          </cell>
        </row>
        <row r="61">
          <cell r="D61" t="str">
            <v>PMNA6101BAA00300-I</v>
          </cell>
        </row>
        <row r="62">
          <cell r="D62" t="str">
            <v>PMNA6101EAA00260NI</v>
          </cell>
        </row>
        <row r="63">
          <cell r="D63" t="str">
            <v>PMVM1104AZ0280-I</v>
          </cell>
        </row>
        <row r="64">
          <cell r="D64" t="str">
            <v>PALLX3012013-I</v>
          </cell>
        </row>
        <row r="65">
          <cell r="D65" t="str">
            <v>PMNA6119AAA01140-I</v>
          </cell>
        </row>
        <row r="66">
          <cell r="D66" t="str">
            <v>PMNA6119AAA01150-I</v>
          </cell>
        </row>
        <row r="67">
          <cell r="D67" t="str">
            <v>PMVM0101EAZ2970N-I</v>
          </cell>
        </row>
        <row r="68">
          <cell r="D68" t="str">
            <v>PMAM60366M01-I</v>
          </cell>
        </row>
        <row r="69">
          <cell r="D69" t="str">
            <v>PMAM60367M01-I</v>
          </cell>
        </row>
        <row r="70">
          <cell r="D70" t="str">
            <v>PMVM0101EAR3080N-I</v>
          </cell>
        </row>
        <row r="71">
          <cell r="D71" t="str">
            <v>PMVM0102AU303660-I</v>
          </cell>
        </row>
        <row r="72">
          <cell r="D72" t="str">
            <v>PMAM0101EW0600N</v>
          </cell>
        </row>
        <row r="73">
          <cell r="D73" t="str">
            <v>PMAM0101EW0610N</v>
          </cell>
        </row>
        <row r="74">
          <cell r="D74" t="str">
            <v>PMAM0102AAW01350NI</v>
          </cell>
        </row>
        <row r="75">
          <cell r="D75" t="str">
            <v>PMAM0102AAW01450NI</v>
          </cell>
        </row>
        <row r="76">
          <cell r="D76" t="str">
            <v>PMAM0102AAW2650N-I</v>
          </cell>
        </row>
        <row r="77">
          <cell r="D77" t="str">
            <v>PMAM7540710C1-V</v>
          </cell>
        </row>
        <row r="78">
          <cell r="D78" t="str">
            <v>PMAM7540711C1-V</v>
          </cell>
        </row>
        <row r="79">
          <cell r="D79" t="str">
            <v>PMVL0101BAP2480N-V</v>
          </cell>
        </row>
        <row r="80">
          <cell r="D80" t="str">
            <v>PMVL0101BAP2880N-V</v>
          </cell>
        </row>
        <row r="81">
          <cell r="D81" t="str">
            <v>PMVL0101BAP2950N</v>
          </cell>
        </row>
        <row r="82">
          <cell r="D82" t="str">
            <v>PMVL0101BAP2960N</v>
          </cell>
        </row>
        <row r="83">
          <cell r="D83" t="str">
            <v>PMVL0102AAW02950N</v>
          </cell>
        </row>
        <row r="84">
          <cell r="D84" t="str">
            <v>PMVM0101BAZ1510N-V</v>
          </cell>
        </row>
        <row r="85">
          <cell r="D85" t="str">
            <v>PMVM0101BAZ1520N-V</v>
          </cell>
        </row>
        <row r="86">
          <cell r="D86" t="str">
            <v>PMVM0101EAR15850-I</v>
          </cell>
        </row>
        <row r="87">
          <cell r="D87" t="str">
            <v>PMAM7500155D1-I</v>
          </cell>
        </row>
        <row r="88">
          <cell r="D88" t="str">
            <v>PMAM7500156D1-I</v>
          </cell>
        </row>
        <row r="89">
          <cell r="D89" t="str">
            <v>PMAM7500157D2-I</v>
          </cell>
        </row>
        <row r="90">
          <cell r="D90" t="str">
            <v>PMAM7505076D1</v>
          </cell>
        </row>
        <row r="91">
          <cell r="D91" t="str">
            <v>PMAM7505077D1</v>
          </cell>
        </row>
        <row r="92">
          <cell r="D92" t="str">
            <v>PMAM7505099D1</v>
          </cell>
        </row>
        <row r="93">
          <cell r="D93" t="str">
            <v>PMAM7505126D1</v>
          </cell>
        </row>
        <row r="94">
          <cell r="D94" t="str">
            <v>PMAM7505248D1</v>
          </cell>
        </row>
        <row r="95">
          <cell r="D95" t="str">
            <v>PTML284560103305-I</v>
          </cell>
        </row>
        <row r="96">
          <cell r="D96" t="str">
            <v>PTML284560108227-I</v>
          </cell>
        </row>
        <row r="97">
          <cell r="D97" t="str">
            <v>PTML284560103303-I</v>
          </cell>
        </row>
        <row r="98">
          <cell r="D98" t="str">
            <v>PTML284560103304-I</v>
          </cell>
        </row>
        <row r="99">
          <cell r="D99" t="str">
            <v>PTML284560103301-I</v>
          </cell>
        </row>
        <row r="100">
          <cell r="D100" t="str">
            <v>PTML284560103302-I</v>
          </cell>
        </row>
        <row r="101">
          <cell r="D101" t="str">
            <v>PTML284560108216-I</v>
          </cell>
        </row>
        <row r="102">
          <cell r="D102" t="str">
            <v>PTML284562203303-I</v>
          </cell>
        </row>
        <row r="103">
          <cell r="D103" t="str">
            <v>PTML284562203301-I</v>
          </cell>
        </row>
        <row r="104">
          <cell r="D104" t="str">
            <v>PTML284562608269-I</v>
          </cell>
        </row>
        <row r="105">
          <cell r="D105" t="str">
            <v>PTML284562608270-I</v>
          </cell>
        </row>
        <row r="106">
          <cell r="D106" t="str">
            <v>PTML284562608271-I</v>
          </cell>
        </row>
        <row r="107">
          <cell r="D107" t="str">
            <v>PTML284562608272-I</v>
          </cell>
        </row>
        <row r="108">
          <cell r="D108" t="str">
            <v>PTML284588108210-I</v>
          </cell>
        </row>
        <row r="109">
          <cell r="D109" t="str">
            <v>PTML284588108211-I</v>
          </cell>
        </row>
        <row r="110">
          <cell r="D110" t="str">
            <v>PMAM008006633C1-I</v>
          </cell>
        </row>
        <row r="111">
          <cell r="D111" t="str">
            <v>PMAM0101BW0360N</v>
          </cell>
        </row>
        <row r="112">
          <cell r="D112" t="str">
            <v>PMAM0101EAW01920NI</v>
          </cell>
        </row>
        <row r="113">
          <cell r="D113" t="str">
            <v>PMAM0101EAW03320N</v>
          </cell>
        </row>
        <row r="114">
          <cell r="D114" t="str">
            <v>PMAM0101EAW03330N</v>
          </cell>
        </row>
        <row r="115">
          <cell r="D115" t="str">
            <v>PMAM0101EAW03470N</v>
          </cell>
        </row>
        <row r="116">
          <cell r="D116" t="str">
            <v>PMAM0101EAW03480N</v>
          </cell>
        </row>
        <row r="117">
          <cell r="D117" t="str">
            <v>PMAM0101EW0340N</v>
          </cell>
        </row>
        <row r="118">
          <cell r="D118" t="str">
            <v>PMAM0101EW0350N</v>
          </cell>
        </row>
        <row r="119">
          <cell r="D119" t="str">
            <v>PMAM0101EW0830NI</v>
          </cell>
        </row>
        <row r="120">
          <cell r="D120" t="str">
            <v>PMAM0101EW1280N</v>
          </cell>
        </row>
        <row r="121">
          <cell r="D121" t="str">
            <v>PMAM0102AAW01330NI</v>
          </cell>
        </row>
        <row r="122">
          <cell r="D122" t="str">
            <v>PMAM7525013D2-V</v>
          </cell>
        </row>
        <row r="123">
          <cell r="D123" t="str">
            <v>PMAM7537507C1-I</v>
          </cell>
        </row>
        <row r="124">
          <cell r="D124" t="str">
            <v>PMAM7537519C1-I</v>
          </cell>
        </row>
        <row r="125">
          <cell r="D125" t="str">
            <v>PMAMOA0061120M01</v>
          </cell>
        </row>
        <row r="126">
          <cell r="D126" t="str">
            <v>PMNA6101BAA00390NI</v>
          </cell>
        </row>
        <row r="127">
          <cell r="D127" t="str">
            <v>PMNA6101BAA00400NI</v>
          </cell>
        </row>
        <row r="128">
          <cell r="D128" t="str">
            <v>PMVL0101BAP2250N-V</v>
          </cell>
        </row>
        <row r="129">
          <cell r="D129" t="str">
            <v>PMVL0101BAP2470N-V</v>
          </cell>
        </row>
        <row r="130">
          <cell r="D130" t="str">
            <v>PMVL0101BAP2650N-V</v>
          </cell>
        </row>
        <row r="131">
          <cell r="D131" t="str">
            <v>PMVM0101EAR2610N-I</v>
          </cell>
        </row>
        <row r="132">
          <cell r="D132" t="str">
            <v>PMVL0101EAR3880N-V</v>
          </cell>
        </row>
        <row r="133">
          <cell r="D133" t="str">
            <v>PMVM102EAW00780N-I</v>
          </cell>
        </row>
        <row r="134">
          <cell r="D134" t="str">
            <v>PTML284562208205-I</v>
          </cell>
        </row>
        <row r="135">
          <cell r="D135" t="str">
            <v>PTML284562608281-I</v>
          </cell>
        </row>
        <row r="136">
          <cell r="D136" t="str">
            <v>PTML284562608282-I</v>
          </cell>
        </row>
        <row r="137">
          <cell r="D137" t="str">
            <v>PTML284562608283-I</v>
          </cell>
        </row>
        <row r="138">
          <cell r="D138" t="str">
            <v>PTML284562608284-I</v>
          </cell>
        </row>
        <row r="139">
          <cell r="D139" t="str">
            <v>PTML284588708263-I</v>
          </cell>
        </row>
        <row r="140">
          <cell r="D140" t="str">
            <v>PTML284588708265-I</v>
          </cell>
        </row>
        <row r="141">
          <cell r="D141" t="str">
            <v>PMAM000061057M01</v>
          </cell>
        </row>
        <row r="142">
          <cell r="D142" t="str">
            <v>PMAM000061058M01</v>
          </cell>
        </row>
        <row r="143">
          <cell r="D143" t="str">
            <v>PMAM007500013D3</v>
          </cell>
        </row>
        <row r="144">
          <cell r="D144" t="str">
            <v>PMAM007500396D91</v>
          </cell>
        </row>
        <row r="145">
          <cell r="D145" t="str">
            <v>PMAM007500492D1</v>
          </cell>
        </row>
        <row r="146">
          <cell r="D146" t="str">
            <v>PMAM007505469C91</v>
          </cell>
        </row>
        <row r="147">
          <cell r="D147" t="str">
            <v>PMAM007505471C91</v>
          </cell>
        </row>
        <row r="148">
          <cell r="D148" t="str">
            <v>PMAM007530716C1-I</v>
          </cell>
        </row>
        <row r="149">
          <cell r="D149" t="str">
            <v>PMAM007538041D1</v>
          </cell>
        </row>
        <row r="150">
          <cell r="D150" t="str">
            <v>PMAM007538042D1</v>
          </cell>
        </row>
        <row r="151">
          <cell r="D151" t="str">
            <v>PMAM007538043D1-V</v>
          </cell>
        </row>
        <row r="152">
          <cell r="D152" t="str">
            <v>PMAM007538044D1-V</v>
          </cell>
        </row>
        <row r="153">
          <cell r="D153" t="str">
            <v>PMAM007538796C1-I</v>
          </cell>
        </row>
        <row r="154">
          <cell r="D154" t="str">
            <v>PMAM0101EW0360N</v>
          </cell>
        </row>
        <row r="155">
          <cell r="D155" t="str">
            <v>PMAM0101EW0370N</v>
          </cell>
        </row>
        <row r="156">
          <cell r="D156" t="str">
            <v>PMAM0102AM1220N</v>
          </cell>
        </row>
        <row r="157">
          <cell r="D157" t="str">
            <v>PMAM0102AM1760N</v>
          </cell>
        </row>
        <row r="158">
          <cell r="D158" t="str">
            <v>PMAM0104CM0850N</v>
          </cell>
        </row>
        <row r="159">
          <cell r="D159" t="str">
            <v>PMAM0104CM0860N</v>
          </cell>
        </row>
        <row r="160">
          <cell r="D160" t="str">
            <v>PMAM6101BAA0120N-V</v>
          </cell>
        </row>
        <row r="161">
          <cell r="D161" t="str">
            <v>PMAM61117M01</v>
          </cell>
        </row>
        <row r="162">
          <cell r="D162" t="str">
            <v>PMAM61118M01</v>
          </cell>
        </row>
        <row r="163">
          <cell r="D163" t="str">
            <v>PMAM7500969D1</v>
          </cell>
        </row>
        <row r="164">
          <cell r="D164" t="str">
            <v>PMAM7501081D1</v>
          </cell>
        </row>
        <row r="165">
          <cell r="D165" t="str">
            <v>PMAM7501082D1</v>
          </cell>
        </row>
        <row r="166">
          <cell r="D166" t="str">
            <v>PMAM7538104D91</v>
          </cell>
        </row>
        <row r="167">
          <cell r="D167" t="str">
            <v>PMAM7538106D91</v>
          </cell>
        </row>
        <row r="168">
          <cell r="D168" t="str">
            <v>PMAM7539733D91</v>
          </cell>
        </row>
        <row r="169">
          <cell r="D169" t="str">
            <v>PMAM7539734D91</v>
          </cell>
        </row>
        <row r="170">
          <cell r="D170" t="str">
            <v>PMVM0101BAZ1230N-I</v>
          </cell>
        </row>
        <row r="171">
          <cell r="D171" t="str">
            <v>PMVM0101EAZ1150N-I</v>
          </cell>
        </row>
        <row r="172">
          <cell r="D172" t="str">
            <v>PMVM101BAW08590N-V</v>
          </cell>
        </row>
        <row r="173">
          <cell r="D173" t="str">
            <v>PMAM007530045D3</v>
          </cell>
        </row>
        <row r="174">
          <cell r="D174" t="str">
            <v>PMAM007530150D91</v>
          </cell>
        </row>
        <row r="175">
          <cell r="D175" t="str">
            <v>PMAM007537442C1</v>
          </cell>
        </row>
        <row r="176">
          <cell r="D176" t="str">
            <v>PMAM007537443C1</v>
          </cell>
        </row>
        <row r="177">
          <cell r="D177" t="str">
            <v>PMAM007541594D1-I</v>
          </cell>
        </row>
        <row r="178">
          <cell r="D178" t="str">
            <v>PMAM0101BAN04040-I</v>
          </cell>
        </row>
        <row r="179">
          <cell r="D179" t="str">
            <v>PMAM0101EW1450N-I</v>
          </cell>
        </row>
        <row r="180">
          <cell r="D180" t="str">
            <v>PMAM60474M01</v>
          </cell>
        </row>
        <row r="181">
          <cell r="D181" t="str">
            <v>PMAM60475M01</v>
          </cell>
        </row>
        <row r="182">
          <cell r="D182" t="str">
            <v>PMAM61168M01</v>
          </cell>
        </row>
        <row r="183">
          <cell r="D183" t="str">
            <v>PMAM61339M01</v>
          </cell>
        </row>
        <row r="184">
          <cell r="D184" t="str">
            <v>PMAM7500450C1</v>
          </cell>
        </row>
        <row r="185">
          <cell r="D185" t="str">
            <v>PMAM7500521C1</v>
          </cell>
        </row>
        <row r="186">
          <cell r="D186" t="str">
            <v>PMAM7500967D1-I</v>
          </cell>
        </row>
        <row r="187">
          <cell r="D187" t="str">
            <v>PMAM7501089D1</v>
          </cell>
        </row>
        <row r="188">
          <cell r="D188" t="str">
            <v>PMAM7501090D1</v>
          </cell>
        </row>
        <row r="189">
          <cell r="D189" t="str">
            <v>PMAM7501104D1</v>
          </cell>
        </row>
        <row r="190">
          <cell r="D190" t="str">
            <v>PMAM7501126D91</v>
          </cell>
        </row>
        <row r="191">
          <cell r="D191" t="str">
            <v>PMAM7501127D91</v>
          </cell>
        </row>
        <row r="192">
          <cell r="D192" t="str">
            <v>PMAM7505183C11</v>
          </cell>
        </row>
        <row r="193">
          <cell r="D193" t="str">
            <v>PMAM7505186C11</v>
          </cell>
        </row>
        <row r="194">
          <cell r="D194" t="str">
            <v>PMAM75155377D1</v>
          </cell>
        </row>
        <row r="195">
          <cell r="D195" t="str">
            <v>PMAM7538108D91</v>
          </cell>
        </row>
        <row r="196">
          <cell r="D196" t="str">
            <v>PMAM7538113D91</v>
          </cell>
        </row>
        <row r="197">
          <cell r="D197" t="str">
            <v>PMAM7538114D1</v>
          </cell>
        </row>
        <row r="198">
          <cell r="D198" t="str">
            <v>PMAM7538117D91</v>
          </cell>
        </row>
        <row r="199">
          <cell r="D199" t="str">
            <v>PMAM7538151D1-I</v>
          </cell>
        </row>
        <row r="200">
          <cell r="D200" t="str">
            <v>PMAM7538265D91</v>
          </cell>
        </row>
        <row r="201">
          <cell r="D201" t="str">
            <v>PMAM7538266D1</v>
          </cell>
        </row>
        <row r="202">
          <cell r="D202" t="str">
            <v>PMAM7538271D1</v>
          </cell>
        </row>
        <row r="203">
          <cell r="D203" t="str">
            <v>PMAM7538272D1</v>
          </cell>
        </row>
        <row r="204">
          <cell r="D204" t="str">
            <v>PMAM7538327D1-I</v>
          </cell>
        </row>
        <row r="205">
          <cell r="D205" t="str">
            <v>PMAM7538480D1</v>
          </cell>
        </row>
        <row r="206">
          <cell r="D206" t="str">
            <v>PMAM7538516D1</v>
          </cell>
        </row>
        <row r="207">
          <cell r="D207" t="str">
            <v>PMAM7539371D1</v>
          </cell>
        </row>
        <row r="208">
          <cell r="D208" t="str">
            <v>PMAM7539393D1-I</v>
          </cell>
        </row>
        <row r="209">
          <cell r="D209" t="str">
            <v>PMAM7539735D1-I</v>
          </cell>
        </row>
        <row r="210">
          <cell r="D210" t="str">
            <v>PMAM7903754C11-V</v>
          </cell>
        </row>
        <row r="211">
          <cell r="D211" t="str">
            <v>PMAM7903755C11-V</v>
          </cell>
        </row>
        <row r="212">
          <cell r="D212" t="str">
            <v>PMAME007531704D1</v>
          </cell>
        </row>
        <row r="213">
          <cell r="D213" t="str">
            <v>PMNA1104AAA03100N</v>
          </cell>
        </row>
        <row r="214">
          <cell r="D214" t="str">
            <v>PMVM1104AA2940-I</v>
          </cell>
        </row>
        <row r="215">
          <cell r="D215" t="str">
            <v>PMNA6101EAJ00030-I</v>
          </cell>
        </row>
        <row r="216">
          <cell r="D216" t="str">
            <v>PMNA6101EAJ00040-I</v>
          </cell>
        </row>
        <row r="217">
          <cell r="D217" t="str">
            <v>PMVM0101BAZ3050N-I</v>
          </cell>
        </row>
        <row r="218">
          <cell r="D218" t="str">
            <v>PMVM0101BAZ3710N-I</v>
          </cell>
        </row>
        <row r="219">
          <cell r="D219" t="str">
            <v>PMVM0101BAZ4430N-I</v>
          </cell>
        </row>
        <row r="220">
          <cell r="D220" t="str">
            <v>PMVM0102AAW02550N</v>
          </cell>
        </row>
        <row r="221">
          <cell r="D221" t="str">
            <v>PTML265188508207-I</v>
          </cell>
        </row>
        <row r="222">
          <cell r="D222" t="str">
            <v>PTML265188508216-I</v>
          </cell>
        </row>
        <row r="223">
          <cell r="D223" t="str">
            <v>PTML284588460106-I</v>
          </cell>
        </row>
        <row r="224">
          <cell r="D224" t="str">
            <v>PMAM007642334U1-V</v>
          </cell>
        </row>
        <row r="225">
          <cell r="D225" t="str">
            <v>PMAM007642393U1-V</v>
          </cell>
        </row>
        <row r="226">
          <cell r="D226" t="str">
            <v>PMAM7637191D1-V</v>
          </cell>
        </row>
        <row r="227">
          <cell r="D227" t="str">
            <v>PMAM7637192D1-V</v>
          </cell>
        </row>
        <row r="228">
          <cell r="D228" t="str">
            <v>PMAM7637193D1-V</v>
          </cell>
        </row>
        <row r="229">
          <cell r="D229" t="str">
            <v>PMAM7637194D1-V</v>
          </cell>
        </row>
        <row r="230">
          <cell r="D230" t="str">
            <v>PMAM7637197D1-V</v>
          </cell>
        </row>
        <row r="231">
          <cell r="D231" t="str">
            <v>PMAM7637198D1-V</v>
          </cell>
        </row>
        <row r="232">
          <cell r="D232" t="str">
            <v>PMAM7637380D1-V</v>
          </cell>
        </row>
        <row r="233">
          <cell r="D233" t="str">
            <v>PMAM7637397U1-I</v>
          </cell>
        </row>
        <row r="234">
          <cell r="D234" t="str">
            <v>PMAM7637587D1-V</v>
          </cell>
        </row>
        <row r="235">
          <cell r="D235" t="str">
            <v>PMAM7637588D1-V</v>
          </cell>
        </row>
        <row r="236">
          <cell r="D236" t="str">
            <v>PMAM7637589D1-V</v>
          </cell>
        </row>
        <row r="237">
          <cell r="D237" t="str">
            <v>PMAM7637590D1-V</v>
          </cell>
        </row>
        <row r="238">
          <cell r="D238" t="str">
            <v>PMAM7637608D1-V</v>
          </cell>
        </row>
        <row r="239">
          <cell r="D239" t="str">
            <v>PMAM7637683U1-V</v>
          </cell>
        </row>
        <row r="240">
          <cell r="D240" t="str">
            <v>PMAM7637692U1-V</v>
          </cell>
        </row>
        <row r="241">
          <cell r="D241" t="str">
            <v>PMAM7639429D1-V</v>
          </cell>
        </row>
        <row r="242">
          <cell r="D242" t="str">
            <v>PMAM7639430D1-V</v>
          </cell>
        </row>
        <row r="243">
          <cell r="D243" t="str">
            <v>PMAM0102AAW00830N</v>
          </cell>
        </row>
        <row r="244">
          <cell r="D244" t="str">
            <v>PMAM0102AW0460N</v>
          </cell>
        </row>
        <row r="245">
          <cell r="D245" t="str">
            <v>PMVM0101BAZ02960-I</v>
          </cell>
        </row>
        <row r="246">
          <cell r="D246" t="str">
            <v>PMAM000060439M01</v>
          </cell>
        </row>
        <row r="247">
          <cell r="D247" t="str">
            <v>PMAM000060975M01</v>
          </cell>
        </row>
        <row r="248">
          <cell r="D248" t="str">
            <v>PMAM000061167M01</v>
          </cell>
        </row>
        <row r="249">
          <cell r="D249" t="str">
            <v>PMAM0060528M01</v>
          </cell>
        </row>
        <row r="250">
          <cell r="D250" t="str">
            <v>PMAM007501129D1</v>
          </cell>
        </row>
        <row r="251">
          <cell r="D251" t="str">
            <v>PMAM007501130D1</v>
          </cell>
        </row>
        <row r="252">
          <cell r="D252" t="str">
            <v>PMAM7530151D1-I</v>
          </cell>
        </row>
        <row r="253">
          <cell r="D253" t="str">
            <v>PMAM7530152D1-I</v>
          </cell>
        </row>
        <row r="254">
          <cell r="D254" t="str">
            <v>PMAM007530153D1-I</v>
          </cell>
        </row>
        <row r="255">
          <cell r="D255" t="str">
            <v>PMAM007530221C1</v>
          </cell>
        </row>
        <row r="256">
          <cell r="D256" t="str">
            <v>PMAM007530223C1</v>
          </cell>
        </row>
        <row r="257">
          <cell r="D257" t="str">
            <v>PMAM007530224C1</v>
          </cell>
        </row>
        <row r="258">
          <cell r="D258" t="str">
            <v>PMAM007530230C1</v>
          </cell>
        </row>
        <row r="259">
          <cell r="D259" t="str">
            <v>PMAM007530348C1</v>
          </cell>
        </row>
        <row r="260">
          <cell r="D260" t="str">
            <v>PMAM007538269D91</v>
          </cell>
        </row>
        <row r="261">
          <cell r="D261" t="str">
            <v>PMAM0101EAR03720N</v>
          </cell>
        </row>
        <row r="262">
          <cell r="D262" t="str">
            <v>PMAM0102AAW01460N</v>
          </cell>
        </row>
        <row r="263">
          <cell r="D263" t="str">
            <v>PMAM07501106D91</v>
          </cell>
        </row>
        <row r="264">
          <cell r="D264" t="str">
            <v>PMAM60476M01-I</v>
          </cell>
        </row>
        <row r="265">
          <cell r="D265" t="str">
            <v>PMAM60477M01-I</v>
          </cell>
        </row>
        <row r="266">
          <cell r="D266" t="str">
            <v>PMAM60861M01-I</v>
          </cell>
        </row>
        <row r="267">
          <cell r="D267" t="str">
            <v>PMAM60862M01-I</v>
          </cell>
        </row>
        <row r="268">
          <cell r="D268" t="str">
            <v>PMAM7500991D1-I</v>
          </cell>
        </row>
        <row r="269">
          <cell r="D269" t="str">
            <v>PMAM7501098D1-I</v>
          </cell>
        </row>
        <row r="270">
          <cell r="D270" t="str">
            <v>PMAM7501099D1-I</v>
          </cell>
        </row>
        <row r="271">
          <cell r="D271" t="str">
            <v>PMAM7505219C1</v>
          </cell>
        </row>
        <row r="272">
          <cell r="D272" t="str">
            <v>PMAM7505220C1-V</v>
          </cell>
        </row>
        <row r="273">
          <cell r="D273" t="str">
            <v>PMAM7505221C1-V</v>
          </cell>
        </row>
        <row r="274">
          <cell r="D274" t="str">
            <v>PMAM7505222C1-V</v>
          </cell>
        </row>
        <row r="275">
          <cell r="D275" t="str">
            <v>PMAM7538165D1</v>
          </cell>
        </row>
        <row r="276">
          <cell r="D276" t="str">
            <v>PMNA6101BAA00320NI</v>
          </cell>
        </row>
        <row r="277">
          <cell r="D277" t="str">
            <v>PMNA6101DAA00210NI</v>
          </cell>
        </row>
        <row r="278">
          <cell r="D278" t="str">
            <v>PMNA6101DAC00410NI</v>
          </cell>
        </row>
        <row r="279">
          <cell r="D279" t="str">
            <v>PMNA6101DAC00430NI</v>
          </cell>
        </row>
        <row r="280">
          <cell r="D280" t="str">
            <v>PMNA6101EAA00450NI  </v>
          </cell>
        </row>
        <row r="281">
          <cell r="D281" t="str">
            <v>PMNA6103AAA00310NI</v>
          </cell>
        </row>
        <row r="282">
          <cell r="D282" t="str">
            <v>PMNA6103BAA00050NI</v>
          </cell>
        </row>
        <row r="283">
          <cell r="D283" t="str">
            <v>PMVL0101EAR03160NV</v>
          </cell>
        </row>
        <row r="284">
          <cell r="D284" t="str">
            <v>PMVM0101BAR09290-I</v>
          </cell>
        </row>
        <row r="285">
          <cell r="D285" t="str">
            <v>PMVM0101BAR09310-I</v>
          </cell>
        </row>
        <row r="286">
          <cell r="D286" t="str">
            <v>PMVM0101CAW00530-I</v>
          </cell>
        </row>
        <row r="287">
          <cell r="D287" t="str">
            <v>PTML267488503304-I</v>
          </cell>
        </row>
        <row r="288">
          <cell r="D288" t="str">
            <v>PTML267488503305-I</v>
          </cell>
        </row>
        <row r="289">
          <cell r="D289" t="str">
            <v>PTML267488508226-I</v>
          </cell>
        </row>
        <row r="290">
          <cell r="D290" t="str">
            <v>PTML267488508227-I</v>
          </cell>
        </row>
        <row r="291">
          <cell r="D291" t="str">
            <v>PTML267488508230-I</v>
          </cell>
        </row>
        <row r="292">
          <cell r="D292" t="str">
            <v>PTML267488508231-I</v>
          </cell>
        </row>
        <row r="293">
          <cell r="D293" t="str">
            <v>PTML267488508256-I</v>
          </cell>
        </row>
        <row r="294">
          <cell r="D294" t="str">
            <v>PMAM007500018D1-I</v>
          </cell>
        </row>
        <row r="295">
          <cell r="D295" t="str">
            <v>PMAM007500020D2-I</v>
          </cell>
        </row>
        <row r="296">
          <cell r="D296" t="str">
            <v>PMAM007500604D91</v>
          </cell>
        </row>
        <row r="297">
          <cell r="D297" t="str">
            <v>PMAM007501128D1</v>
          </cell>
        </row>
        <row r="298">
          <cell r="D298" t="str">
            <v>PMAM007530796D1</v>
          </cell>
        </row>
        <row r="299">
          <cell r="D299" t="str">
            <v>PMAM0102AAW01500N</v>
          </cell>
        </row>
        <row r="300">
          <cell r="D300" t="str">
            <v>PMAM0102AAW01530N</v>
          </cell>
        </row>
        <row r="301">
          <cell r="D301" t="str">
            <v>PMAM0102AAW01750NI</v>
          </cell>
        </row>
        <row r="302">
          <cell r="D302" t="str">
            <v>PMAM7501085D1</v>
          </cell>
        </row>
        <row r="303">
          <cell r="D303" t="str">
            <v>PMAM7501086D1</v>
          </cell>
        </row>
        <row r="304">
          <cell r="D304" t="str">
            <v>PMAM7501101D1</v>
          </cell>
        </row>
        <row r="305">
          <cell r="D305" t="str">
            <v>PMAM7501102D1</v>
          </cell>
        </row>
        <row r="306">
          <cell r="D306" t="str">
            <v>PMAM7501145D1</v>
          </cell>
        </row>
        <row r="307">
          <cell r="D307" t="str">
            <v>PMAM7501146D1</v>
          </cell>
        </row>
        <row r="308">
          <cell r="D308" t="str">
            <v>PMAM7505074D91</v>
          </cell>
        </row>
        <row r="309">
          <cell r="D309" t="str">
            <v>PMAM7505075D91</v>
          </cell>
        </row>
        <row r="310">
          <cell r="D310" t="str">
            <v>PMAM7505333D1</v>
          </cell>
        </row>
        <row r="311">
          <cell r="D311" t="str">
            <v>PMAM7537439C1</v>
          </cell>
        </row>
        <row r="312">
          <cell r="D312" t="str">
            <v>PMAM7537440C1-I</v>
          </cell>
        </row>
        <row r="313">
          <cell r="D313" t="str">
            <v>PMAM7537441C1</v>
          </cell>
        </row>
        <row r="314">
          <cell r="D314" t="str">
            <v>PMAM7538161D91</v>
          </cell>
        </row>
        <row r="315">
          <cell r="D315" t="str">
            <v>PMAM7539386D91</v>
          </cell>
        </row>
        <row r="316">
          <cell r="D316" t="str">
            <v>PMAM7539426D1</v>
          </cell>
        </row>
        <row r="317">
          <cell r="D317" t="str">
            <v>PMAM7539427D1</v>
          </cell>
        </row>
        <row r="318">
          <cell r="D318" t="str">
            <v>PTML284554608214-I</v>
          </cell>
        </row>
        <row r="319">
          <cell r="D319" t="str">
            <v>PTML284562218213-V</v>
          </cell>
        </row>
        <row r="320">
          <cell r="D320" t="str">
            <v>PTML284562608239-I</v>
          </cell>
        </row>
        <row r="321">
          <cell r="D321" t="str">
            <v>PTML284562608240-I</v>
          </cell>
        </row>
        <row r="322">
          <cell r="D322" t="str">
            <v>PMAM7500956D1</v>
          </cell>
        </row>
        <row r="323">
          <cell r="D323" t="str">
            <v>PMAM7505011D3</v>
          </cell>
        </row>
        <row r="324">
          <cell r="D324" t="str">
            <v>PMAM7505012D3</v>
          </cell>
        </row>
        <row r="325">
          <cell r="D325" t="str">
            <v>PMAM7505013D3</v>
          </cell>
        </row>
        <row r="326">
          <cell r="D326" t="str">
            <v>PMAM7505014D3</v>
          </cell>
        </row>
        <row r="327">
          <cell r="D327" t="str">
            <v>PMAM7505051D2</v>
          </cell>
        </row>
        <row r="328">
          <cell r="D328" t="str">
            <v>PMAM7510014D3</v>
          </cell>
        </row>
        <row r="329">
          <cell r="D329" t="str">
            <v>PMAM7530565D2</v>
          </cell>
        </row>
        <row r="330">
          <cell r="D330" t="str">
            <v>PMAM7531040D1</v>
          </cell>
        </row>
        <row r="331">
          <cell r="D331" t="str">
            <v>PMAM7537267D1</v>
          </cell>
        </row>
        <row r="332">
          <cell r="D332" t="str">
            <v>PMN6103AAA00090N-V</v>
          </cell>
        </row>
        <row r="333">
          <cell r="D333" t="str">
            <v>PMN6103AAA00100N-V</v>
          </cell>
        </row>
        <row r="334">
          <cell r="D334" t="str">
            <v>PMNA93500040-V</v>
          </cell>
        </row>
        <row r="335">
          <cell r="D335" t="str">
            <v>PMTB6101GAA0270N-V</v>
          </cell>
        </row>
        <row r="336">
          <cell r="D336" t="str">
            <v>PMTB6101GAA0280N-V</v>
          </cell>
        </row>
        <row r="337">
          <cell r="D337" t="str">
            <v>PMAM007537444C1</v>
          </cell>
        </row>
        <row r="338">
          <cell r="D338" t="str">
            <v>PMNA6101EAA00280NI</v>
          </cell>
        </row>
        <row r="339">
          <cell r="D339" t="str">
            <v>PMAM0101EAW03260NI</v>
          </cell>
        </row>
        <row r="340">
          <cell r="D340" t="str">
            <v>PMAM0101EAW01720-I</v>
          </cell>
        </row>
        <row r="341">
          <cell r="D341" t="str">
            <v>PMNA6101DAC00450NI</v>
          </cell>
        </row>
        <row r="342">
          <cell r="D342" t="str">
            <v>PMVL0101EAR3660N-V</v>
          </cell>
        </row>
        <row r="343">
          <cell r="D343" t="str">
            <v>PMVL0101EAP5790N-V</v>
          </cell>
        </row>
        <row r="344">
          <cell r="D344" t="str">
            <v>PMVL0101EAP6170N-V</v>
          </cell>
        </row>
        <row r="345">
          <cell r="D345" t="str">
            <v>PTML269988700105N</v>
          </cell>
        </row>
        <row r="346">
          <cell r="D346" t="str">
            <v>PMAM0101DW0078NV</v>
          </cell>
        </row>
        <row r="347">
          <cell r="D347" t="str">
            <v>PMAM0101EAW03300N</v>
          </cell>
        </row>
        <row r="348">
          <cell r="D348" t="str">
            <v>PMAM0101EAW03310N</v>
          </cell>
        </row>
        <row r="349">
          <cell r="D349" t="str">
            <v>PMAM0101EW01180N-I</v>
          </cell>
        </row>
        <row r="350">
          <cell r="D350" t="str">
            <v>PMAM0101EW01190N-I</v>
          </cell>
        </row>
        <row r="351">
          <cell r="D351" t="str">
            <v>PMAM0102AAW01320N</v>
          </cell>
        </row>
        <row r="352">
          <cell r="D352" t="str">
            <v>PMAM0102AAW01690NI</v>
          </cell>
        </row>
        <row r="353">
          <cell r="D353" t="str">
            <v>PMVM102EAW00740N-I</v>
          </cell>
        </row>
        <row r="354">
          <cell r="D354" t="str">
            <v>PMVL0101BAP2120N-V</v>
          </cell>
        </row>
        <row r="355">
          <cell r="D355" t="str">
            <v>PMVL0101BAP2190N-V</v>
          </cell>
        </row>
        <row r="356">
          <cell r="D356" t="str">
            <v>PMVL0101ER0850N-V</v>
          </cell>
        </row>
        <row r="357">
          <cell r="D357" t="str">
            <v>PMAM0102AAW02190N</v>
          </cell>
        </row>
        <row r="358">
          <cell r="D358" t="str">
            <v>PMAM0101DW0070N-I</v>
          </cell>
        </row>
        <row r="359">
          <cell r="D359" t="str">
            <v>PMAM0101DW0080N-I</v>
          </cell>
        </row>
        <row r="360">
          <cell r="D360" t="str">
            <v>PMVM2302AAN01480-V</v>
          </cell>
        </row>
        <row r="361">
          <cell r="D361" t="str">
            <v>PMVM0102AU301150-I</v>
          </cell>
        </row>
        <row r="362">
          <cell r="D362" t="str">
            <v>PMAM102AU301170N-I</v>
          </cell>
        </row>
        <row r="363">
          <cell r="D363" t="str">
            <v>PMVM0101EAR1120N-I</v>
          </cell>
        </row>
        <row r="364">
          <cell r="D364" t="str">
            <v>PMAM0101AAW01570NI</v>
          </cell>
        </row>
        <row r="365">
          <cell r="D365" t="str">
            <v>PMVL0102AAW02400N</v>
          </cell>
        </row>
        <row r="366">
          <cell r="D366" t="str">
            <v>PMVL0101EAR3650N-V</v>
          </cell>
        </row>
        <row r="367">
          <cell r="D367" t="str">
            <v>PMAM0102EW0070N</v>
          </cell>
        </row>
        <row r="368">
          <cell r="D368" t="str">
            <v>PMAM0102EW0080N</v>
          </cell>
        </row>
        <row r="369">
          <cell r="D369" t="str">
            <v>PMAM0101EAW03070NI</v>
          </cell>
        </row>
        <row r="370">
          <cell r="D370" t="str">
            <v>PMAM0101EAF02880-I</v>
          </cell>
        </row>
        <row r="371">
          <cell r="D371" t="str">
            <v>PMAM0102CAW00200N</v>
          </cell>
        </row>
        <row r="372">
          <cell r="D372" t="str">
            <v>PMAM0101EW1480N</v>
          </cell>
        </row>
        <row r="373">
          <cell r="D373" t="str">
            <v>PMAM0101EW1490N</v>
          </cell>
        </row>
        <row r="374">
          <cell r="D374" t="str">
            <v>PMVM0101EW0770N-V</v>
          </cell>
        </row>
        <row r="375">
          <cell r="D375" t="str">
            <v>PMAM0101EAW02750NI</v>
          </cell>
        </row>
        <row r="376">
          <cell r="D376" t="str">
            <v>PMVM0101ER0240N-V</v>
          </cell>
        </row>
        <row r="377">
          <cell r="D377" t="str">
            <v>PMVM0101ER0230N-I</v>
          </cell>
        </row>
        <row r="378">
          <cell r="D378" t="str">
            <v>PMAM34281-I</v>
          </cell>
        </row>
        <row r="379">
          <cell r="D379" t="str">
            <v>PMVM0101EAR2440N-I</v>
          </cell>
        </row>
        <row r="380">
          <cell r="D380" t="str">
            <v>PMVM0101EAR2450N-I</v>
          </cell>
        </row>
        <row r="381">
          <cell r="D381" t="str">
            <v>PMVM0101EAR3630N-I</v>
          </cell>
        </row>
        <row r="382">
          <cell r="D382" t="str">
            <v>PMVM0101EAR3100N-I</v>
          </cell>
        </row>
        <row r="383">
          <cell r="D383" t="str">
            <v>PMVM0101BW603580-I</v>
          </cell>
        </row>
        <row r="384">
          <cell r="D384" t="str">
            <v>PMVM0101DW600210-I</v>
          </cell>
        </row>
        <row r="385">
          <cell r="D385" t="str">
            <v>PMVM0101BW602620-I</v>
          </cell>
        </row>
        <row r="386">
          <cell r="D386" t="str">
            <v>PMVM0101BW601550-I</v>
          </cell>
        </row>
        <row r="387">
          <cell r="D387" t="str">
            <v>PMVM0101BW603130-I</v>
          </cell>
        </row>
        <row r="388">
          <cell r="D388" t="str">
            <v>PMVM0101BW601960-I</v>
          </cell>
        </row>
        <row r="389">
          <cell r="D389" t="str">
            <v>PMVM0101BW601950-I</v>
          </cell>
        </row>
        <row r="390">
          <cell r="D390" t="str">
            <v>PMVM0101BW601970-I</v>
          </cell>
        </row>
        <row r="391">
          <cell r="D391" t="str">
            <v>PMVM0101BW601980-I</v>
          </cell>
        </row>
        <row r="392">
          <cell r="D392" t="str">
            <v>PMVM0101BW602730-I</v>
          </cell>
        </row>
        <row r="393">
          <cell r="D393" t="str">
            <v>PMVM0101EW601940-I</v>
          </cell>
        </row>
        <row r="394">
          <cell r="D394" t="str">
            <v>PMVM0101EW601830-I</v>
          </cell>
        </row>
        <row r="395">
          <cell r="D395" t="str">
            <v>PMVM0101EW601840-I</v>
          </cell>
        </row>
        <row r="396">
          <cell r="D396" t="str">
            <v>PMVM0101EW600910-I</v>
          </cell>
        </row>
        <row r="397">
          <cell r="D397" t="str">
            <v>PMVM0101EW602320-I</v>
          </cell>
        </row>
        <row r="398">
          <cell r="D398" t="str">
            <v>PMVM0101EW602310-I</v>
          </cell>
        </row>
        <row r="399">
          <cell r="D399" t="str">
            <v>PMVM0101BW601110-I</v>
          </cell>
        </row>
        <row r="400">
          <cell r="D400" t="str">
            <v>PMVM0101EW602350-I</v>
          </cell>
        </row>
        <row r="401">
          <cell r="D401" t="str">
            <v>PMVM0101BAW04020-I</v>
          </cell>
        </row>
        <row r="402">
          <cell r="D402" t="str">
            <v>PMVM0101BW603110-I</v>
          </cell>
        </row>
        <row r="403">
          <cell r="D403" t="str">
            <v>PMVM0101BW603120-I</v>
          </cell>
        </row>
        <row r="404">
          <cell r="D404" t="str">
            <v>PMVM2302AW600620-I</v>
          </cell>
        </row>
        <row r="405">
          <cell r="D405" t="str">
            <v>PMVM2302AW600170-I</v>
          </cell>
        </row>
        <row r="406">
          <cell r="D406" t="str">
            <v>PMVM2302AW600190-I</v>
          </cell>
        </row>
        <row r="407">
          <cell r="D407" t="str">
            <v>PMVM2302AW600210-I</v>
          </cell>
        </row>
        <row r="408">
          <cell r="D408" t="str">
            <v>PMVM2302AW600260-I</v>
          </cell>
        </row>
        <row r="409">
          <cell r="D409" t="str">
            <v>PMVM2302AW600250-I</v>
          </cell>
        </row>
        <row r="410">
          <cell r="D410" t="str">
            <v>PMVM2302BW600180-I</v>
          </cell>
        </row>
        <row r="411">
          <cell r="D411" t="str">
            <v>PMVM2302BW600220-I</v>
          </cell>
        </row>
        <row r="412">
          <cell r="D412" t="str">
            <v>PMVM2302BW600190-I</v>
          </cell>
        </row>
        <row r="413">
          <cell r="D413" t="str">
            <v>PMVM2302BW600210-I</v>
          </cell>
        </row>
        <row r="414">
          <cell r="D414" t="str">
            <v>PMVM2302BW600200-I</v>
          </cell>
        </row>
        <row r="415">
          <cell r="D415" t="str">
            <v>PMVM0101BW603450-I</v>
          </cell>
        </row>
        <row r="416">
          <cell r="D416" t="str">
            <v>PMVM0101BW603430-I</v>
          </cell>
        </row>
        <row r="417">
          <cell r="D417" t="str">
            <v>PMVM0101EAF03910-I</v>
          </cell>
        </row>
        <row r="418">
          <cell r="D418" t="str">
            <v>PMVM0101EAF03920-I</v>
          </cell>
        </row>
        <row r="419">
          <cell r="D419" t="str">
            <v>PMVM0101BAF05420-I</v>
          </cell>
        </row>
        <row r="420">
          <cell r="D420" t="str">
            <v>PMVM0101BAF05430-I</v>
          </cell>
        </row>
        <row r="421">
          <cell r="D421" t="str">
            <v>PMVM0101BAF05640-I</v>
          </cell>
        </row>
        <row r="422">
          <cell r="D422" t="str">
            <v>PMVM0101BAF05650-I</v>
          </cell>
        </row>
        <row r="423">
          <cell r="D423" t="str">
            <v>PMVM0101EAF03810-I</v>
          </cell>
        </row>
        <row r="424">
          <cell r="D424" t="str">
            <v>PMVM0101EAF03820-I</v>
          </cell>
        </row>
        <row r="425">
          <cell r="D425" t="str">
            <v>PMVM0101BAF04930-I</v>
          </cell>
        </row>
        <row r="426">
          <cell r="D426" t="str">
            <v>PMVM0101BAF04990-I</v>
          </cell>
        </row>
        <row r="427">
          <cell r="D427" t="str">
            <v>PMVM0101BAF05230-I</v>
          </cell>
        </row>
        <row r="428">
          <cell r="D428" t="str">
            <v>PMVM0101BAF05240-I</v>
          </cell>
        </row>
        <row r="429">
          <cell r="D429" t="str">
            <v>PMVM0101BAF05600-I</v>
          </cell>
        </row>
        <row r="430">
          <cell r="D430" t="str">
            <v>PMVM0101BAF04880-I</v>
          </cell>
        </row>
        <row r="431">
          <cell r="D431" t="str">
            <v>PMVM2302AAN00480-I</v>
          </cell>
        </row>
        <row r="432">
          <cell r="D432" t="str">
            <v>PMVM2302AAN00500-I</v>
          </cell>
        </row>
        <row r="433">
          <cell r="D433" t="str">
            <v>PMVM2302AAN00460-I</v>
          </cell>
        </row>
        <row r="434">
          <cell r="D434" t="str">
            <v>PMVM2302AAN00520-I</v>
          </cell>
        </row>
        <row r="435">
          <cell r="D435" t="str">
            <v>PMVM2302AAN01090-I</v>
          </cell>
        </row>
        <row r="436">
          <cell r="D436" t="str">
            <v>PMVM2302AAN01100-I</v>
          </cell>
        </row>
        <row r="437">
          <cell r="D437" t="str">
            <v>PMVM2302AAN01280-I</v>
          </cell>
        </row>
        <row r="438">
          <cell r="D438" t="str">
            <v>PMVM2302AAN01290-I</v>
          </cell>
        </row>
        <row r="439">
          <cell r="D439" t="str">
            <v>PMVM2302AAN00610-I</v>
          </cell>
        </row>
        <row r="440">
          <cell r="D440" t="str">
            <v>PMVM2302AAN00620-I</v>
          </cell>
        </row>
        <row r="441">
          <cell r="D441" t="str">
            <v>PMVM0101EAF04040-I</v>
          </cell>
        </row>
        <row r="442">
          <cell r="D442" t="str">
            <v>PMVM0101EAF04060-I</v>
          </cell>
        </row>
        <row r="443">
          <cell r="D443" t="str">
            <v>PMVM0101BAF05250-I</v>
          </cell>
        </row>
        <row r="444">
          <cell r="D444" t="str">
            <v>PMVM0101BAF05310-I</v>
          </cell>
        </row>
        <row r="445">
          <cell r="D445" t="str">
            <v>PMVM0101BAF04900-I</v>
          </cell>
        </row>
        <row r="446">
          <cell r="D446" t="str">
            <v>PMVM0101BAF04960-I</v>
          </cell>
        </row>
        <row r="447">
          <cell r="D447" t="str">
            <v>PMVM0101BAF05160-I</v>
          </cell>
        </row>
        <row r="448">
          <cell r="D448" t="str">
            <v>PMVM0101BAF05220-I</v>
          </cell>
        </row>
        <row r="449">
          <cell r="D449" t="str">
            <v>PMVM0101BAF05280-I</v>
          </cell>
        </row>
        <row r="450">
          <cell r="D450" t="str">
            <v>PMVM0101BAF05390-I</v>
          </cell>
        </row>
        <row r="451">
          <cell r="D451" t="str">
            <v>PMVM0101BAF05610-I</v>
          </cell>
        </row>
        <row r="452">
          <cell r="D452" t="str">
            <v>PMVM0101BAF05620-I</v>
          </cell>
        </row>
        <row r="453">
          <cell r="D453" t="str">
            <v>PMVM0101BAF05680-I</v>
          </cell>
        </row>
        <row r="454">
          <cell r="D454" t="str">
            <v>PMVM0101BAF05710-I</v>
          </cell>
        </row>
        <row r="455">
          <cell r="D455" t="str">
            <v>PMVM0101BAF06050-I</v>
          </cell>
        </row>
        <row r="456">
          <cell r="D456" t="str">
            <v>PMVM0101BAF06120-I</v>
          </cell>
        </row>
        <row r="457">
          <cell r="D457" t="str">
            <v>PMVM0101BAF06140-I</v>
          </cell>
        </row>
        <row r="458">
          <cell r="D458" t="str">
            <v>PMVM0101EAF04070-I</v>
          </cell>
        </row>
        <row r="459">
          <cell r="D459" t="str">
            <v>PMVM0101EAF03540-I</v>
          </cell>
        </row>
        <row r="460">
          <cell r="D460" t="str">
            <v>PMVM0101BAF06300-I</v>
          </cell>
        </row>
        <row r="461">
          <cell r="D461" t="str">
            <v>PMAM0101BAF06350-I</v>
          </cell>
        </row>
        <row r="462">
          <cell r="D462" t="str">
            <v>PMAM0101BAF06380-I</v>
          </cell>
        </row>
        <row r="463">
          <cell r="D463" t="str">
            <v>PMVM0101BAF04920-I</v>
          </cell>
        </row>
        <row r="464">
          <cell r="D464" t="str">
            <v>PMVM0101BAF04950-I</v>
          </cell>
        </row>
        <row r="465">
          <cell r="D465" t="str">
            <v>PMVM0101EAF03960-I</v>
          </cell>
        </row>
        <row r="466">
          <cell r="D466" t="str">
            <v>PMVM101BZ103090N-I</v>
          </cell>
        </row>
        <row r="467">
          <cell r="D467" t="str">
            <v>PMVM102AZ101980N-I</v>
          </cell>
        </row>
        <row r="468">
          <cell r="D468" t="str">
            <v>PMVM101BZ102290N-I</v>
          </cell>
        </row>
        <row r="469">
          <cell r="D469" t="str">
            <v>PMVM101BZ102280N-I</v>
          </cell>
        </row>
        <row r="470">
          <cell r="D470" t="str">
            <v>PMVM101EZ103320N-I</v>
          </cell>
        </row>
        <row r="471">
          <cell r="D471" t="str">
            <v>PMVM101EZ103330N-I</v>
          </cell>
        </row>
        <row r="472">
          <cell r="D472" t="str">
            <v>PMVM101EZ103340N-I</v>
          </cell>
        </row>
        <row r="473">
          <cell r="D473" t="str">
            <v>PMVM101EZ103350N-I</v>
          </cell>
        </row>
        <row r="474">
          <cell r="D474" t="str">
            <v>PMVM101BZ103470N-I</v>
          </cell>
        </row>
        <row r="475">
          <cell r="D475" t="str">
            <v>PMVM102AZ102090N-I</v>
          </cell>
        </row>
        <row r="476">
          <cell r="D476" t="str">
            <v>PMVM101BZ102200N-I</v>
          </cell>
        </row>
        <row r="477">
          <cell r="D477" t="str">
            <v>PMVM101BZ102850N-I</v>
          </cell>
        </row>
        <row r="478">
          <cell r="D478" t="str">
            <v>PMVM102AZ102100N-I</v>
          </cell>
        </row>
        <row r="479">
          <cell r="D479" t="str">
            <v>PMVM1401BAA35150-I</v>
          </cell>
        </row>
        <row r="480">
          <cell r="D480" t="str">
            <v>PMVM1401BAA35140-I</v>
          </cell>
        </row>
        <row r="481">
          <cell r="D481" t="str">
            <v>PMVM2302AZ100430-I</v>
          </cell>
        </row>
        <row r="482">
          <cell r="D482" t="str">
            <v>PMVM2302AZ100440-I</v>
          </cell>
        </row>
        <row r="483">
          <cell r="D483" t="str">
            <v>PMVM0101BZ104620-I</v>
          </cell>
        </row>
        <row r="484">
          <cell r="D484" t="str">
            <v>PMVM2302BZ100300-I</v>
          </cell>
        </row>
        <row r="485">
          <cell r="D485" t="str">
            <v>PMVM0101EZ105810-I</v>
          </cell>
        </row>
        <row r="486">
          <cell r="D486" t="str">
            <v>PMVM0101EZ105820-I</v>
          </cell>
        </row>
        <row r="487">
          <cell r="D487" t="str">
            <v>PMVM102AZ101490N-I</v>
          </cell>
        </row>
        <row r="488">
          <cell r="D488" t="str">
            <v>PMVM102AZ101500N-I</v>
          </cell>
        </row>
        <row r="489">
          <cell r="D489" t="str">
            <v>PMVM1801FZ100040-I</v>
          </cell>
        </row>
        <row r="490">
          <cell r="D490" t="str">
            <v>PMVM1401BAA35950-I</v>
          </cell>
        </row>
        <row r="491">
          <cell r="D491" t="str">
            <v>PMVM0103AC100560-I</v>
          </cell>
        </row>
        <row r="492">
          <cell r="D492" t="str">
            <v>PMNA6101EAA00270NI</v>
          </cell>
        </row>
        <row r="493">
          <cell r="D493" t="str">
            <v>PMNA7101BAL00010-I</v>
          </cell>
        </row>
        <row r="494">
          <cell r="D494" t="str">
            <v>PMVM0101BAZ1640N-I</v>
          </cell>
        </row>
        <row r="495">
          <cell r="D495" t="str">
            <v>PTML284565708236-I</v>
          </cell>
        </row>
        <row r="496">
          <cell r="D496" t="str">
            <v>PTML265188508208-I</v>
          </cell>
        </row>
        <row r="497">
          <cell r="D497" t="str">
            <v>PTML284565108285-I</v>
          </cell>
        </row>
        <row r="499">
          <cell r="D499" t="str">
            <v>PTML284588708236-I</v>
          </cell>
        </row>
        <row r="500">
          <cell r="D500" t="str">
            <v>PMAM61040M01-I</v>
          </cell>
        </row>
        <row r="501">
          <cell r="D501" t="str">
            <v>PMAM7530170D1-I</v>
          </cell>
        </row>
        <row r="502">
          <cell r="D502" t="str">
            <v>PMVM2302AAN01740-I</v>
          </cell>
        </row>
        <row r="503">
          <cell r="D503" t="str">
            <v>PMVM2302AAN01670-I</v>
          </cell>
        </row>
        <row r="504">
          <cell r="D504" t="str">
            <v>PMVM2302AAN01730-I</v>
          </cell>
        </row>
        <row r="505">
          <cell r="D505" t="str">
            <v>PMVM2302AAN01660-I</v>
          </cell>
        </row>
        <row r="506">
          <cell r="D506" t="str">
            <v>PMVM2302AAN01720-I</v>
          </cell>
        </row>
        <row r="507">
          <cell r="D507" t="str">
            <v>PMVM2302AAN01650-I</v>
          </cell>
        </row>
        <row r="508">
          <cell r="D508" t="str">
            <v>PMVM2302AAN01690-I</v>
          </cell>
        </row>
        <row r="509">
          <cell r="D509" t="str">
            <v>PMVM2302AAN01620-I</v>
          </cell>
        </row>
        <row r="510">
          <cell r="D510" t="str">
            <v>PMVM2302AAN01680-I</v>
          </cell>
        </row>
        <row r="511">
          <cell r="D511" t="str">
            <v>PMVM2302AAN01610-I</v>
          </cell>
        </row>
        <row r="512">
          <cell r="D512" t="str">
            <v>PMVM2302BS200750-I</v>
          </cell>
        </row>
        <row r="513">
          <cell r="D513" t="str">
            <v>PMVM2302BS200740-I</v>
          </cell>
        </row>
        <row r="514">
          <cell r="D514" t="str">
            <v>PMVM2302BS200790-I</v>
          </cell>
        </row>
        <row r="515">
          <cell r="D515" t="str">
            <v>PMVM2302BS200760-I</v>
          </cell>
        </row>
        <row r="516">
          <cell r="D516" t="str">
            <v>PPVP6A002686-I</v>
          </cell>
        </row>
        <row r="517">
          <cell r="D517" t="str">
            <v>PPVP6A002660-I</v>
          </cell>
        </row>
        <row r="518">
          <cell r="D518" t="str">
            <v>PPVP6A002673-I</v>
          </cell>
        </row>
        <row r="519">
          <cell r="D519" t="str">
            <v>PPVP6A002676-I</v>
          </cell>
        </row>
        <row r="520">
          <cell r="D520" t="str">
            <v>PPVP6A002082-I</v>
          </cell>
        </row>
        <row r="521">
          <cell r="D521" t="str">
            <v>PPVP6A002674-I</v>
          </cell>
        </row>
        <row r="522">
          <cell r="D522" t="str">
            <v>PPVP6A002675-I</v>
          </cell>
        </row>
        <row r="523">
          <cell r="D523" t="str">
            <v>PPVP6A002638-I</v>
          </cell>
        </row>
        <row r="524">
          <cell r="D524" t="str">
            <v>PMAM0101BW605780-I</v>
          </cell>
        </row>
        <row r="525">
          <cell r="D525" t="str">
            <v>PMAM0101BW605790-I</v>
          </cell>
        </row>
        <row r="526">
          <cell r="D526" t="str">
            <v>PMAM0101BW605800-I</v>
          </cell>
        </row>
        <row r="527">
          <cell r="D527" t="str">
            <v>PMAM0101BW605810-I</v>
          </cell>
        </row>
        <row r="528">
          <cell r="D528" t="str">
            <v>PTML284565103336-I</v>
          </cell>
        </row>
        <row r="529">
          <cell r="D529" t="str">
            <v>PTML284565103330-I</v>
          </cell>
        </row>
        <row r="530">
          <cell r="D530" t="str">
            <v>PTML284565108292-I</v>
          </cell>
        </row>
        <row r="531">
          <cell r="D531" t="str">
            <v>PTML284565103344-I</v>
          </cell>
        </row>
        <row r="532">
          <cell r="D532" t="str">
            <v>PTML284565103342-I</v>
          </cell>
        </row>
        <row r="553">
          <cell r="D553" t="str">
            <v>PTML543861608205-I</v>
          </cell>
        </row>
        <row r="554">
          <cell r="D554" t="str">
            <v>PTML543861608206-I</v>
          </cell>
        </row>
        <row r="555">
          <cell r="D555" t="str">
            <v>PTML543863208246-I</v>
          </cell>
        </row>
        <row r="556">
          <cell r="D556" t="str">
            <v>PTML543863218221-I</v>
          </cell>
        </row>
        <row r="557">
          <cell r="D557" t="str">
            <v>PTML543863218217-I</v>
          </cell>
        </row>
        <row r="558">
          <cell r="D558" t="str">
            <v>PTML543863218218-I</v>
          </cell>
        </row>
        <row r="559">
          <cell r="D559" t="str">
            <v>PTML543863218207-I</v>
          </cell>
        </row>
        <row r="560">
          <cell r="D560" t="str">
            <v>PTML543863218208-I</v>
          </cell>
        </row>
        <row r="561">
          <cell r="D561" t="str">
            <v>PTML543863218219-I</v>
          </cell>
        </row>
        <row r="562">
          <cell r="D562" t="str">
            <v>PTML543863218220-I</v>
          </cell>
        </row>
        <row r="563">
          <cell r="D563" t="str">
            <v>PTML547261808202-I</v>
          </cell>
        </row>
        <row r="564">
          <cell r="D564" t="str">
            <v>PTML547261808203-I</v>
          </cell>
        </row>
        <row r="565">
          <cell r="D565" t="str">
            <v>PTML542261103301-I</v>
          </cell>
        </row>
        <row r="566">
          <cell r="D566" t="str">
            <v>PTML542261103302-I</v>
          </cell>
        </row>
        <row r="567">
          <cell r="D567" t="str">
            <v>PTML544261108237-I</v>
          </cell>
        </row>
        <row r="568">
          <cell r="D568" t="str">
            <v>PTML547161808238-I</v>
          </cell>
        </row>
        <row r="569">
          <cell r="D569" t="str">
            <v>PTML547161808213-I</v>
          </cell>
        </row>
        <row r="570">
          <cell r="D570" t="str">
            <v>PTML547161808214-I</v>
          </cell>
        </row>
        <row r="571">
          <cell r="D571" t="str">
            <v>PTML547161808215-I</v>
          </cell>
        </row>
        <row r="572">
          <cell r="D572" t="str">
            <v>PTML543861108236-I</v>
          </cell>
        </row>
        <row r="573">
          <cell r="D573" t="str">
            <v>PTML543861108237-I</v>
          </cell>
        </row>
        <row r="574">
          <cell r="D574" t="str">
            <v>PTML543861108238-I</v>
          </cell>
        </row>
        <row r="575">
          <cell r="D575" t="str">
            <v>PTML543861108239-I</v>
          </cell>
        </row>
        <row r="576">
          <cell r="D576" t="str">
            <v>PTML547161108227-I</v>
          </cell>
        </row>
        <row r="577">
          <cell r="D577" t="str">
            <v>PTML547161108228-I</v>
          </cell>
        </row>
        <row r="578">
          <cell r="D578" t="str">
            <v>PTML547161108229-I</v>
          </cell>
        </row>
        <row r="579">
          <cell r="D579" t="str">
            <v>PTML547161108230-I</v>
          </cell>
        </row>
        <row r="580">
          <cell r="D580" t="str">
            <v>PTML543861108240-I</v>
          </cell>
        </row>
        <row r="581">
          <cell r="D581" t="str">
            <v>PTML543861108241-I</v>
          </cell>
        </row>
        <row r="582">
          <cell r="D582" t="str">
            <v>PTML542261208216-I</v>
          </cell>
        </row>
        <row r="583">
          <cell r="D583" t="str">
            <v>PTML542261208217-I</v>
          </cell>
        </row>
        <row r="584">
          <cell r="D584" t="str">
            <v>PTML543861103305-I</v>
          </cell>
        </row>
        <row r="585">
          <cell r="D585" t="str">
            <v>PTML543861103306-I</v>
          </cell>
        </row>
        <row r="586">
          <cell r="D586" t="str">
            <v>PTML543861103309-I</v>
          </cell>
        </row>
        <row r="587">
          <cell r="D587" t="str">
            <v>PTML543861103310-I</v>
          </cell>
        </row>
        <row r="588">
          <cell r="D588" t="str">
            <v>PTML543861108203-I</v>
          </cell>
        </row>
        <row r="589">
          <cell r="D589" t="str">
            <v>PTML543861108204-I</v>
          </cell>
        </row>
        <row r="590">
          <cell r="D590" t="str">
            <v>PTML543861103301-I</v>
          </cell>
        </row>
        <row r="591">
          <cell r="D591" t="str">
            <v>PTML543861103302-I</v>
          </cell>
        </row>
        <row r="592">
          <cell r="D592" t="str">
            <v>PTML542142803300-I</v>
          </cell>
        </row>
        <row r="593">
          <cell r="D593" t="str">
            <v>PTML287161308258-I</v>
          </cell>
        </row>
        <row r="594">
          <cell r="D594" t="str">
            <v>PTML287461308219-I</v>
          </cell>
        </row>
      </sheetData>
      <sheetData sheetId="13"/>
      <sheetData sheetId="14"/>
      <sheetData sheetId="15">
        <row r="2">
          <cell r="G2" t="str">
            <v xml:space="preserve">SAP Part Number </v>
          </cell>
          <cell r="L2" t="str">
            <v>Opening Stock</v>
          </cell>
        </row>
        <row r="4">
          <cell r="G4" t="str">
            <v>PMAM0102AAW00690-I</v>
          </cell>
          <cell r="L4">
            <v>0</v>
          </cell>
        </row>
        <row r="5">
          <cell r="G5" t="str">
            <v>PMAM0102AAW00680-I</v>
          </cell>
          <cell r="L5">
            <v>0</v>
          </cell>
        </row>
        <row r="6">
          <cell r="G6" t="str">
            <v>PMAM0102AAW01380-I</v>
          </cell>
          <cell r="L6">
            <v>553</v>
          </cell>
        </row>
        <row r="7">
          <cell r="G7" t="str">
            <v>PMVM0102AAW04990-I</v>
          </cell>
          <cell r="L7">
            <v>0</v>
          </cell>
        </row>
        <row r="8">
          <cell r="G8" t="str">
            <v>PMAM0102AW0610N-I</v>
          </cell>
          <cell r="L8">
            <v>0</v>
          </cell>
        </row>
        <row r="9">
          <cell r="G9" t="str">
            <v>PMAM0101EW1370N</v>
          </cell>
          <cell r="L9">
            <v>0</v>
          </cell>
        </row>
        <row r="10">
          <cell r="G10" t="str">
            <v>PMAM0102AW06100N-I</v>
          </cell>
          <cell r="L10">
            <v>0</v>
          </cell>
        </row>
        <row r="11">
          <cell r="G11" t="str">
            <v>PMAM0102AW0670N-I</v>
          </cell>
          <cell r="L11">
            <v>0</v>
          </cell>
        </row>
        <row r="12">
          <cell r="G12" t="str">
            <v>PMAM0102AAW01360-I</v>
          </cell>
          <cell r="L12">
            <v>88</v>
          </cell>
        </row>
        <row r="13">
          <cell r="G13" t="str">
            <v>PMAM0102AAW01470-I</v>
          </cell>
          <cell r="L13">
            <v>595</v>
          </cell>
        </row>
        <row r="14">
          <cell r="G14" t="str">
            <v>PMAM0102AAW01770N</v>
          </cell>
          <cell r="L14">
            <v>2214</v>
          </cell>
        </row>
        <row r="15">
          <cell r="G15" t="str">
            <v>PMAM0102AAW02640-I</v>
          </cell>
          <cell r="L15">
            <v>0</v>
          </cell>
        </row>
        <row r="16">
          <cell r="G16" t="str">
            <v>PMAM0102AW0630N-I</v>
          </cell>
          <cell r="L16">
            <v>-3</v>
          </cell>
        </row>
        <row r="17">
          <cell r="G17" t="str">
            <v>PMAM0101EW1440N-I</v>
          </cell>
          <cell r="L17">
            <v>2023</v>
          </cell>
        </row>
        <row r="18">
          <cell r="G18" t="str">
            <v>PMAM0101EW14100N-I</v>
          </cell>
          <cell r="L18">
            <v>0</v>
          </cell>
        </row>
        <row r="19">
          <cell r="G19" t="str">
            <v>PMVL0102AAW02420N</v>
          </cell>
          <cell r="L19">
            <v>0</v>
          </cell>
        </row>
        <row r="20">
          <cell r="G20" t="str">
            <v>PMVM0102AAW02510N</v>
          </cell>
          <cell r="L20">
            <v>0</v>
          </cell>
        </row>
        <row r="21">
          <cell r="G21" t="str">
            <v>PMAM0102AAW01100NI</v>
          </cell>
          <cell r="L21">
            <v>0</v>
          </cell>
        </row>
        <row r="22">
          <cell r="G22" t="str">
            <v>PMAM0102AAW01760NI</v>
          </cell>
          <cell r="L22">
            <v>150</v>
          </cell>
        </row>
        <row r="23">
          <cell r="G23" t="str">
            <v>PMVM0102AAW01100-I</v>
          </cell>
          <cell r="L23">
            <v>0</v>
          </cell>
        </row>
        <row r="24">
          <cell r="G24" t="str">
            <v>PMAM0101BAW08590N</v>
          </cell>
          <cell r="L24">
            <v>0</v>
          </cell>
        </row>
        <row r="25">
          <cell r="G25" t="str">
            <v>PMVL0102AAW02440N</v>
          </cell>
          <cell r="L25">
            <v>0</v>
          </cell>
        </row>
        <row r="26">
          <cell r="G26" t="str">
            <v>PMVL0102AAW02460N</v>
          </cell>
          <cell r="L26">
            <v>0</v>
          </cell>
        </row>
        <row r="27">
          <cell r="G27" t="str">
            <v>PMVL0102AAW2380N-V</v>
          </cell>
          <cell r="L27">
            <v>27</v>
          </cell>
        </row>
        <row r="28">
          <cell r="G28" t="str">
            <v>PMVM0102AAW025100N</v>
          </cell>
          <cell r="L28">
            <v>0</v>
          </cell>
        </row>
        <row r="29">
          <cell r="G29" t="str">
            <v>PMVM0101EAR158100-I</v>
          </cell>
          <cell r="L29">
            <v>0</v>
          </cell>
        </row>
        <row r="30">
          <cell r="G30" t="str">
            <v>PMVM0101EAR15860-I</v>
          </cell>
          <cell r="L30">
            <v>0</v>
          </cell>
        </row>
        <row r="31">
          <cell r="G31" t="str">
            <v>PMVM0101EAR15900-I</v>
          </cell>
          <cell r="L31">
            <v>5678</v>
          </cell>
        </row>
        <row r="32">
          <cell r="G32" t="str">
            <v>PMVM0101EAR3120N-I</v>
          </cell>
          <cell r="L32">
            <v>0</v>
          </cell>
        </row>
        <row r="33">
          <cell r="G33" t="str">
            <v>PMVM0101EAR3060N-I</v>
          </cell>
          <cell r="L33">
            <v>0</v>
          </cell>
        </row>
        <row r="34">
          <cell r="G34" t="str">
            <v>PMVM0101EAZ1160N-I</v>
          </cell>
          <cell r="L34">
            <v>-80</v>
          </cell>
        </row>
        <row r="35">
          <cell r="G35" t="str">
            <v>PMVM0101EAZ11100N-I</v>
          </cell>
          <cell r="L35">
            <v>-80</v>
          </cell>
        </row>
        <row r="36">
          <cell r="G36" t="str">
            <v>PMVM0101EAZ0520N-I</v>
          </cell>
          <cell r="L36">
            <v>-161</v>
          </cell>
        </row>
        <row r="37">
          <cell r="G37" t="str">
            <v>PMVM0101EAZ0530N-I</v>
          </cell>
          <cell r="L37">
            <v>-149</v>
          </cell>
        </row>
        <row r="38">
          <cell r="G38" t="str">
            <v>PTML284562208251-I</v>
          </cell>
          <cell r="L38">
            <v>68</v>
          </cell>
        </row>
        <row r="39">
          <cell r="G39" t="str">
            <v>PTML284562608268-I</v>
          </cell>
          <cell r="L39">
            <v>686</v>
          </cell>
        </row>
        <row r="40">
          <cell r="G40" t="str">
            <v>PTML284588108206-I</v>
          </cell>
          <cell r="L40">
            <v>-1312</v>
          </cell>
        </row>
        <row r="41">
          <cell r="G41" t="str">
            <v>PTML284588108207-I</v>
          </cell>
          <cell r="L41">
            <v>0</v>
          </cell>
        </row>
        <row r="42">
          <cell r="G42" t="str">
            <v>PTML284588708260-I</v>
          </cell>
          <cell r="L42">
            <v>623</v>
          </cell>
        </row>
        <row r="43">
          <cell r="G43" t="str">
            <v>PTML284588708261-I</v>
          </cell>
          <cell r="L43">
            <v>623</v>
          </cell>
        </row>
        <row r="44">
          <cell r="G44" t="str">
            <v>PTML284588708271-I</v>
          </cell>
          <cell r="L44">
            <v>0</v>
          </cell>
        </row>
        <row r="45">
          <cell r="G45" t="str">
            <v>PTML284588708272-I</v>
          </cell>
          <cell r="L45">
            <v>0</v>
          </cell>
        </row>
        <row r="46">
          <cell r="G46" t="str">
            <v>PTML284588708247-I</v>
          </cell>
          <cell r="L46">
            <v>1343</v>
          </cell>
        </row>
        <row r="47">
          <cell r="G47" t="str">
            <v>PTML284588708248-I</v>
          </cell>
          <cell r="L47">
            <v>1276</v>
          </cell>
        </row>
        <row r="48">
          <cell r="G48" t="str">
            <v>PTML2674881008230-I</v>
          </cell>
          <cell r="L48">
            <v>0</v>
          </cell>
        </row>
        <row r="49">
          <cell r="G49" t="str">
            <v>PTML2674881008231-I</v>
          </cell>
          <cell r="L49">
            <v>0</v>
          </cell>
        </row>
        <row r="50">
          <cell r="G50" t="str">
            <v>PTML284562208241-I</v>
          </cell>
          <cell r="L50">
            <v>311</v>
          </cell>
        </row>
        <row r="51">
          <cell r="G51" t="str">
            <v>PMVM0102AU303670-I</v>
          </cell>
          <cell r="L51">
            <v>840</v>
          </cell>
        </row>
        <row r="52">
          <cell r="G52" t="str">
            <v>PMNA6101EAA00270NI</v>
          </cell>
          <cell r="L52">
            <v>666</v>
          </cell>
        </row>
        <row r="53">
          <cell r="G53" t="str">
            <v>PMNA6101BAA0060N</v>
          </cell>
          <cell r="L53">
            <v>-1193</v>
          </cell>
        </row>
        <row r="54">
          <cell r="G54" t="str">
            <v>PMNA6103BAA00220NI</v>
          </cell>
          <cell r="L54">
            <v>-1193</v>
          </cell>
        </row>
        <row r="55">
          <cell r="G55" t="str">
            <v>PMNA6103BAA00230NI</v>
          </cell>
          <cell r="L55">
            <v>-1175</v>
          </cell>
        </row>
        <row r="56">
          <cell r="G56" t="str">
            <v>PMNA6103AAA00170N</v>
          </cell>
          <cell r="L56">
            <v>-1284</v>
          </cell>
        </row>
        <row r="57">
          <cell r="G57" t="str">
            <v>PMVM6103AAA00320-I</v>
          </cell>
          <cell r="L57">
            <v>-1284</v>
          </cell>
        </row>
        <row r="58">
          <cell r="G58" t="str">
            <v>PMVM6103AAA00260-I</v>
          </cell>
          <cell r="L58">
            <v>-1284</v>
          </cell>
        </row>
        <row r="59">
          <cell r="G59" t="str">
            <v>PMNA6103AAA00180N</v>
          </cell>
          <cell r="L59">
            <v>-1175</v>
          </cell>
        </row>
        <row r="60">
          <cell r="G60" t="str">
            <v>PMNA6101BAA00300-I</v>
          </cell>
          <cell r="L60">
            <v>-4429</v>
          </cell>
        </row>
        <row r="61">
          <cell r="G61" t="str">
            <v>PMNA6101EAA00260NI</v>
          </cell>
          <cell r="L61">
            <v>2477</v>
          </cell>
        </row>
        <row r="62">
          <cell r="G62" t="str">
            <v>PMVM1104AZ0280-I</v>
          </cell>
          <cell r="L62">
            <v>296</v>
          </cell>
        </row>
        <row r="63">
          <cell r="G63" t="str">
            <v>PMVM1104AA2940-I</v>
          </cell>
          <cell r="L63">
            <v>1546</v>
          </cell>
        </row>
        <row r="64">
          <cell r="G64" t="str">
            <v>PALLX3012013-I</v>
          </cell>
          <cell r="L64">
            <v>1778</v>
          </cell>
        </row>
        <row r="65">
          <cell r="G65" t="str">
            <v>PMNA6119AAA01140-I</v>
          </cell>
          <cell r="L65">
            <v>-2723</v>
          </cell>
        </row>
        <row r="66">
          <cell r="G66" t="str">
            <v>PMNA6119AAA01150-I</v>
          </cell>
          <cell r="L66">
            <v>-2774</v>
          </cell>
        </row>
        <row r="67">
          <cell r="G67" t="str">
            <v>PMVM0101EAZ2970N-I</v>
          </cell>
          <cell r="L67">
            <v>-83</v>
          </cell>
        </row>
        <row r="68">
          <cell r="G68" t="str">
            <v>PMAM60366M01-I</v>
          </cell>
          <cell r="L68">
            <v>0</v>
          </cell>
        </row>
        <row r="69">
          <cell r="G69" t="str">
            <v>PMAM60367M01-I</v>
          </cell>
          <cell r="L69">
            <v>0</v>
          </cell>
        </row>
        <row r="70">
          <cell r="G70" t="str">
            <v>PMVM0101EAR3080N-I</v>
          </cell>
          <cell r="L70">
            <v>0</v>
          </cell>
        </row>
        <row r="71">
          <cell r="G71" t="str">
            <v>PMVM0102AU303660-I</v>
          </cell>
          <cell r="L71">
            <v>992</v>
          </cell>
        </row>
        <row r="72">
          <cell r="G72" t="str">
            <v>PMAM0101EW0600N</v>
          </cell>
          <cell r="L72">
            <v>0</v>
          </cell>
        </row>
        <row r="73">
          <cell r="G73" t="str">
            <v>PMAM0101EW0610N</v>
          </cell>
          <cell r="L73">
            <v>315</v>
          </cell>
        </row>
        <row r="74">
          <cell r="G74" t="str">
            <v>PMAM0102AAW01350NI</v>
          </cell>
          <cell r="L74">
            <v>0</v>
          </cell>
        </row>
        <row r="75">
          <cell r="G75" t="str">
            <v>PMAM0102AAW01450NI</v>
          </cell>
          <cell r="L75">
            <v>0</v>
          </cell>
        </row>
        <row r="76">
          <cell r="G76" t="str">
            <v>PMAM0102AAW2650N-I</v>
          </cell>
          <cell r="L76">
            <v>3529</v>
          </cell>
        </row>
        <row r="77">
          <cell r="G77" t="str">
            <v>PMAM7540710C1-V</v>
          </cell>
          <cell r="L77">
            <v>375</v>
          </cell>
        </row>
        <row r="78">
          <cell r="G78" t="str">
            <v>PMAM7540711C1-V</v>
          </cell>
          <cell r="L78">
            <v>0</v>
          </cell>
        </row>
        <row r="79">
          <cell r="G79" t="str">
            <v>PMVL0101BAP2480N-V</v>
          </cell>
          <cell r="L79">
            <v>0</v>
          </cell>
        </row>
        <row r="80">
          <cell r="G80" t="str">
            <v>PMVL0101BAP2880N-V</v>
          </cell>
          <cell r="L80">
            <v>0</v>
          </cell>
        </row>
        <row r="81">
          <cell r="G81" t="str">
            <v>PMVL0101BAP2950N</v>
          </cell>
          <cell r="L81">
            <v>0</v>
          </cell>
        </row>
        <row r="82">
          <cell r="G82" t="str">
            <v>PMVL0101BAP2960N</v>
          </cell>
          <cell r="L82">
            <v>0</v>
          </cell>
        </row>
        <row r="83">
          <cell r="G83" t="str">
            <v>PMVL0102AAW02950N</v>
          </cell>
          <cell r="L83">
            <v>0</v>
          </cell>
        </row>
        <row r="84">
          <cell r="G84" t="str">
            <v>PMVM0101BAZ1510N-V</v>
          </cell>
          <cell r="L84">
            <v>243</v>
          </cell>
        </row>
        <row r="85">
          <cell r="G85" t="str">
            <v>PMVM0101BAZ1520N-V</v>
          </cell>
          <cell r="L85">
            <v>275</v>
          </cell>
        </row>
        <row r="86">
          <cell r="G86" t="str">
            <v>PMVM0101EAR15850-I</v>
          </cell>
          <cell r="L86">
            <v>0</v>
          </cell>
        </row>
        <row r="87">
          <cell r="G87" t="str">
            <v>PMAM7500155D1-I</v>
          </cell>
          <cell r="L87">
            <v>230</v>
          </cell>
        </row>
        <row r="88">
          <cell r="G88" t="str">
            <v>PMAM7500156D1-I</v>
          </cell>
          <cell r="L88">
            <v>-25</v>
          </cell>
        </row>
        <row r="89">
          <cell r="G89" t="str">
            <v>PMAM7500157D2-I</v>
          </cell>
          <cell r="L89">
            <v>-25</v>
          </cell>
        </row>
        <row r="90">
          <cell r="G90" t="str">
            <v>PMAM7505076D1</v>
          </cell>
          <cell r="L90">
            <v>0</v>
          </cell>
        </row>
        <row r="91">
          <cell r="G91" t="str">
            <v>PMAM7505077D1</v>
          </cell>
          <cell r="L91">
            <v>0</v>
          </cell>
        </row>
        <row r="92">
          <cell r="G92" t="str">
            <v>PMAM7505099D1</v>
          </cell>
          <cell r="L92">
            <v>0</v>
          </cell>
        </row>
        <row r="93">
          <cell r="G93" t="str">
            <v>PMAM7505126D1</v>
          </cell>
          <cell r="L93">
            <v>0</v>
          </cell>
        </row>
        <row r="94">
          <cell r="G94" t="str">
            <v>PMAM7505248D1</v>
          </cell>
          <cell r="L94">
            <v>0</v>
          </cell>
        </row>
        <row r="95">
          <cell r="G95" t="str">
            <v>PTML284560103305-I</v>
          </cell>
          <cell r="L95">
            <v>592</v>
          </cell>
        </row>
        <row r="96">
          <cell r="G96" t="str">
            <v>PTML284560108227-I</v>
          </cell>
          <cell r="L96">
            <v>0</v>
          </cell>
        </row>
        <row r="97">
          <cell r="G97" t="str">
            <v>PTML284560103303-I</v>
          </cell>
          <cell r="L97">
            <v>0</v>
          </cell>
        </row>
        <row r="98">
          <cell r="G98" t="str">
            <v>PTML284560103304-I</v>
          </cell>
          <cell r="L98">
            <v>0</v>
          </cell>
        </row>
        <row r="99">
          <cell r="G99" t="str">
            <v>PTML284560103301-I</v>
          </cell>
          <cell r="L99">
            <v>0</v>
          </cell>
        </row>
        <row r="100">
          <cell r="G100" t="str">
            <v>PTML284560103302-I</v>
          </cell>
          <cell r="L100">
            <v>0</v>
          </cell>
        </row>
        <row r="101">
          <cell r="G101" t="str">
            <v>PTML284560108216-I</v>
          </cell>
          <cell r="L101">
            <v>2</v>
          </cell>
        </row>
        <row r="102">
          <cell r="G102" t="str">
            <v>PTML284562203303-I</v>
          </cell>
          <cell r="L102">
            <v>118</v>
          </cell>
        </row>
        <row r="103">
          <cell r="G103" t="str">
            <v>PTML284562203301-I</v>
          </cell>
          <cell r="L103">
            <v>0</v>
          </cell>
        </row>
        <row r="104">
          <cell r="G104" t="str">
            <v>PTML284562608269-I</v>
          </cell>
          <cell r="L104">
            <v>692</v>
          </cell>
        </row>
        <row r="105">
          <cell r="G105" t="str">
            <v>PTML284562608270-I</v>
          </cell>
          <cell r="L105">
            <v>751</v>
          </cell>
        </row>
        <row r="106">
          <cell r="G106" t="str">
            <v>PTML284562608271-I</v>
          </cell>
          <cell r="L106">
            <v>0</v>
          </cell>
        </row>
        <row r="107">
          <cell r="G107" t="str">
            <v>PTML284562608272-I</v>
          </cell>
          <cell r="L107">
            <v>0</v>
          </cell>
        </row>
        <row r="108">
          <cell r="G108" t="str">
            <v>PTML284588108210-I</v>
          </cell>
          <cell r="L108">
            <v>195</v>
          </cell>
        </row>
        <row r="109">
          <cell r="G109" t="str">
            <v>PTML284588108211-I</v>
          </cell>
          <cell r="L109">
            <v>0</v>
          </cell>
        </row>
        <row r="110">
          <cell r="G110" t="str">
            <v>PMAM008006633C1-I</v>
          </cell>
          <cell r="L110">
            <v>0</v>
          </cell>
        </row>
        <row r="111">
          <cell r="G111" t="str">
            <v>PMAM0101BW0360N</v>
          </cell>
          <cell r="L111">
            <v>125</v>
          </cell>
        </row>
        <row r="112">
          <cell r="G112" t="str">
            <v>PMAM0101EAW01920NI</v>
          </cell>
          <cell r="L112">
            <v>1234</v>
          </cell>
        </row>
        <row r="113">
          <cell r="G113" t="str">
            <v>PMAM0101EAW03320N</v>
          </cell>
          <cell r="L113">
            <v>104</v>
          </cell>
        </row>
        <row r="114">
          <cell r="G114" t="str">
            <v>PMAM0101EAW03330N</v>
          </cell>
          <cell r="L114">
            <v>42</v>
          </cell>
        </row>
        <row r="115">
          <cell r="G115" t="str">
            <v>PMAM0101EAW03470N</v>
          </cell>
          <cell r="L115">
            <v>0</v>
          </cell>
        </row>
        <row r="116">
          <cell r="G116" t="str">
            <v>PMAM0101EAW03480N</v>
          </cell>
          <cell r="L116">
            <v>0</v>
          </cell>
        </row>
        <row r="117">
          <cell r="G117" t="str">
            <v>PMAM0101EW0340N</v>
          </cell>
          <cell r="L117">
            <v>397</v>
          </cell>
        </row>
        <row r="118">
          <cell r="G118" t="str">
            <v>PMAM0101EW0350N</v>
          </cell>
          <cell r="L118">
            <v>483</v>
          </cell>
        </row>
        <row r="119">
          <cell r="G119" t="str">
            <v>PMAM0101EW0830NI</v>
          </cell>
          <cell r="L119">
            <v>0</v>
          </cell>
        </row>
        <row r="120">
          <cell r="G120" t="str">
            <v>PMAM0101EW1280N</v>
          </cell>
          <cell r="L120">
            <v>0</v>
          </cell>
        </row>
        <row r="121">
          <cell r="G121" t="str">
            <v>PMAM0102AAW01330NI</v>
          </cell>
          <cell r="L121">
            <v>0</v>
          </cell>
        </row>
        <row r="122">
          <cell r="G122" t="str">
            <v>PMAM7525013D2-V</v>
          </cell>
          <cell r="L122">
            <v>0</v>
          </cell>
        </row>
        <row r="123">
          <cell r="G123" t="str">
            <v>PMAM7537507C1-I</v>
          </cell>
          <cell r="L123">
            <v>0</v>
          </cell>
        </row>
        <row r="124">
          <cell r="G124" t="str">
            <v>PMAM7537519C1-I</v>
          </cell>
          <cell r="L124">
            <v>0</v>
          </cell>
        </row>
        <row r="125">
          <cell r="G125" t="str">
            <v>PMAMOA0061120M01</v>
          </cell>
          <cell r="L125">
            <v>0</v>
          </cell>
        </row>
        <row r="126">
          <cell r="G126" t="str">
            <v>PMNA6101BAA00390NI</v>
          </cell>
          <cell r="L126">
            <v>-1320</v>
          </cell>
        </row>
        <row r="127">
          <cell r="G127" t="str">
            <v>PMNA6101BAA00400NI</v>
          </cell>
          <cell r="L127">
            <v>-1360</v>
          </cell>
        </row>
        <row r="128">
          <cell r="G128" t="str">
            <v>PMVL0101BAP2250N-V</v>
          </cell>
          <cell r="L128">
            <v>0</v>
          </cell>
        </row>
        <row r="129">
          <cell r="G129" t="str">
            <v>PMVL0101BAP2470N-V</v>
          </cell>
          <cell r="L129">
            <v>0</v>
          </cell>
        </row>
        <row r="130">
          <cell r="G130" t="str">
            <v>PMVL0101BAP2650N-V</v>
          </cell>
          <cell r="L130">
            <v>0</v>
          </cell>
        </row>
        <row r="131">
          <cell r="G131" t="str">
            <v>PMVM0101EAR2610N-I</v>
          </cell>
          <cell r="L131">
            <v>0</v>
          </cell>
        </row>
        <row r="132">
          <cell r="G132" t="str">
            <v>PMVL0101EAR3880N-V</v>
          </cell>
          <cell r="L132">
            <v>0</v>
          </cell>
        </row>
        <row r="133">
          <cell r="G133" t="str">
            <v>PMVM102EAW00780N-I</v>
          </cell>
          <cell r="L133">
            <v>0</v>
          </cell>
        </row>
        <row r="134">
          <cell r="G134" t="str">
            <v>PTML284562208205-I</v>
          </cell>
          <cell r="L134">
            <v>1450</v>
          </cell>
        </row>
        <row r="135">
          <cell r="G135" t="str">
            <v>PTML284562608281-I</v>
          </cell>
          <cell r="L135">
            <v>-1316</v>
          </cell>
        </row>
        <row r="136">
          <cell r="G136" t="str">
            <v>PTML284562608282-I</v>
          </cell>
          <cell r="L136">
            <v>0</v>
          </cell>
        </row>
        <row r="137">
          <cell r="G137" t="str">
            <v>PTML284562608283-I</v>
          </cell>
          <cell r="L137">
            <v>-1316</v>
          </cell>
        </row>
        <row r="138">
          <cell r="G138" t="str">
            <v>PTML284562608284-I</v>
          </cell>
          <cell r="L138">
            <v>0</v>
          </cell>
        </row>
        <row r="139">
          <cell r="G139" t="str">
            <v>PTML284588708263-I</v>
          </cell>
          <cell r="L139">
            <v>1950</v>
          </cell>
        </row>
        <row r="140">
          <cell r="G140" t="str">
            <v>PTML284588708265-I</v>
          </cell>
          <cell r="L140">
            <v>10639</v>
          </cell>
        </row>
        <row r="141">
          <cell r="G141" t="str">
            <v>PMAM000061057M01</v>
          </cell>
          <cell r="L141">
            <v>0</v>
          </cell>
        </row>
        <row r="142">
          <cell r="G142" t="str">
            <v>PMAM000061058M01</v>
          </cell>
          <cell r="L142">
            <v>0</v>
          </cell>
        </row>
        <row r="143">
          <cell r="G143" t="str">
            <v>PMAM007500013D3</v>
          </cell>
          <cell r="L143">
            <v>478</v>
          </cell>
        </row>
        <row r="144">
          <cell r="G144" t="str">
            <v>PMAM007500396D91</v>
          </cell>
          <cell r="L144">
            <v>0</v>
          </cell>
        </row>
        <row r="145">
          <cell r="G145" t="str">
            <v>PMAM007500492D1</v>
          </cell>
          <cell r="L145">
            <v>0</v>
          </cell>
        </row>
        <row r="146">
          <cell r="G146" t="str">
            <v>PMAM007505469C91</v>
          </cell>
          <cell r="L146">
            <v>0</v>
          </cell>
        </row>
        <row r="147">
          <cell r="G147" t="str">
            <v>PMAM007505471C91</v>
          </cell>
          <cell r="L147">
            <v>0</v>
          </cell>
        </row>
        <row r="148">
          <cell r="G148" t="str">
            <v>PMAM007530716C1-I</v>
          </cell>
          <cell r="L148">
            <v>0</v>
          </cell>
        </row>
        <row r="149">
          <cell r="G149" t="str">
            <v>PMAM007538041D1</v>
          </cell>
          <cell r="L149">
            <v>16</v>
          </cell>
        </row>
        <row r="150">
          <cell r="G150" t="str">
            <v>PMAM007538042D1</v>
          </cell>
          <cell r="L150">
            <v>82</v>
          </cell>
        </row>
        <row r="151">
          <cell r="G151" t="str">
            <v>PMAM007538043D1-V</v>
          </cell>
          <cell r="L151">
            <v>0</v>
          </cell>
        </row>
        <row r="152">
          <cell r="G152" t="str">
            <v>PMAM007538044D1-V</v>
          </cell>
          <cell r="L152">
            <v>0</v>
          </cell>
        </row>
        <row r="153">
          <cell r="G153" t="str">
            <v>PMAM007538796C1-I</v>
          </cell>
          <cell r="L153">
            <v>0</v>
          </cell>
        </row>
        <row r="154">
          <cell r="G154" t="str">
            <v>PMAM0101EW0360N</v>
          </cell>
          <cell r="L154">
            <v>687</v>
          </cell>
        </row>
        <row r="155">
          <cell r="G155" t="str">
            <v>PMAM0101EW0370N</v>
          </cell>
          <cell r="L155">
            <v>558</v>
          </cell>
        </row>
        <row r="156">
          <cell r="G156" t="str">
            <v>PMAM0102AM1220N</v>
          </cell>
          <cell r="L156">
            <v>4</v>
          </cell>
        </row>
        <row r="157">
          <cell r="G157" t="str">
            <v>PMAM0102AM1760N</v>
          </cell>
          <cell r="L157">
            <v>82</v>
          </cell>
        </row>
        <row r="158">
          <cell r="G158" t="str">
            <v>PMAM0104CM0850N</v>
          </cell>
          <cell r="L158">
            <v>53</v>
          </cell>
        </row>
        <row r="159">
          <cell r="G159" t="str">
            <v>PMAM0104CM0860N</v>
          </cell>
          <cell r="L159">
            <v>25</v>
          </cell>
        </row>
        <row r="160">
          <cell r="G160" t="str">
            <v>PMAM6101BAA0120N-V</v>
          </cell>
          <cell r="L160">
            <v>589</v>
          </cell>
        </row>
        <row r="161">
          <cell r="G161" t="str">
            <v>PMAM61117M01</v>
          </cell>
          <cell r="L161">
            <v>0</v>
          </cell>
        </row>
        <row r="162">
          <cell r="G162" t="str">
            <v>PMAM61118M01</v>
          </cell>
          <cell r="L162">
            <v>0</v>
          </cell>
        </row>
        <row r="163">
          <cell r="G163" t="str">
            <v>PMAM7500969D1</v>
          </cell>
          <cell r="L163">
            <v>0</v>
          </cell>
        </row>
        <row r="164">
          <cell r="G164" t="str">
            <v>PMAM7501081D1</v>
          </cell>
          <cell r="L164">
            <v>0</v>
          </cell>
        </row>
        <row r="165">
          <cell r="G165" t="str">
            <v>PMAM7501082D1</v>
          </cell>
          <cell r="L165">
            <v>0</v>
          </cell>
        </row>
        <row r="166">
          <cell r="G166" t="str">
            <v>PMAM7538104D91</v>
          </cell>
          <cell r="L166">
            <v>0</v>
          </cell>
        </row>
        <row r="167">
          <cell r="G167" t="str">
            <v>PMAM7538106D91</v>
          </cell>
          <cell r="L167">
            <v>0</v>
          </cell>
        </row>
        <row r="168">
          <cell r="G168" t="str">
            <v>PMAM7539733D91</v>
          </cell>
          <cell r="L168">
            <v>0</v>
          </cell>
        </row>
        <row r="169">
          <cell r="G169" t="str">
            <v>PMAM7539734D91</v>
          </cell>
          <cell r="L169">
            <v>0</v>
          </cell>
        </row>
        <row r="170">
          <cell r="G170" t="str">
            <v>PMVM0101BAZ1230N-I</v>
          </cell>
          <cell r="L170">
            <v>-97</v>
          </cell>
        </row>
        <row r="171">
          <cell r="G171" t="str">
            <v>PMVM0101EAZ1150N-I</v>
          </cell>
          <cell r="L171">
            <v>-80</v>
          </cell>
        </row>
        <row r="172">
          <cell r="G172" t="str">
            <v>PMVM101BAW08590N-V</v>
          </cell>
          <cell r="L172">
            <v>0</v>
          </cell>
        </row>
        <row r="173">
          <cell r="G173" t="str">
            <v>PMAM007530045D3</v>
          </cell>
          <cell r="L173">
            <v>280</v>
          </cell>
        </row>
        <row r="174">
          <cell r="G174" t="str">
            <v>PMAM7530170D1-I</v>
          </cell>
          <cell r="L174">
            <v>128</v>
          </cell>
        </row>
        <row r="175">
          <cell r="G175" t="str">
            <v>PMAM007537442C1</v>
          </cell>
          <cell r="L175">
            <v>0</v>
          </cell>
        </row>
        <row r="176">
          <cell r="G176" t="str">
            <v>PMAM007537443C1</v>
          </cell>
          <cell r="L176">
            <v>0</v>
          </cell>
        </row>
        <row r="177">
          <cell r="G177" t="str">
            <v>PMAM007541594D1-I</v>
          </cell>
          <cell r="L177">
            <v>0</v>
          </cell>
        </row>
        <row r="178">
          <cell r="G178" t="str">
            <v>PMAM0101BAN04040-I</v>
          </cell>
          <cell r="L178">
            <v>96</v>
          </cell>
        </row>
        <row r="179">
          <cell r="G179" t="str">
            <v>PMAM0101EW1450N-I</v>
          </cell>
          <cell r="L179">
            <v>2022</v>
          </cell>
        </row>
        <row r="180">
          <cell r="G180" t="str">
            <v>PMAM60474M01</v>
          </cell>
          <cell r="L180">
            <v>0</v>
          </cell>
        </row>
        <row r="181">
          <cell r="G181" t="str">
            <v>PMAM60475M01</v>
          </cell>
          <cell r="L181">
            <v>0</v>
          </cell>
        </row>
        <row r="182">
          <cell r="G182" t="str">
            <v>PMAM61168M01</v>
          </cell>
          <cell r="L182">
            <v>0</v>
          </cell>
        </row>
        <row r="183">
          <cell r="G183" t="str">
            <v>PMAM61339M01</v>
          </cell>
          <cell r="L183">
            <v>0</v>
          </cell>
        </row>
        <row r="184">
          <cell r="G184" t="str">
            <v>PMAM7500450C1</v>
          </cell>
          <cell r="L184">
            <v>0</v>
          </cell>
        </row>
        <row r="185">
          <cell r="G185" t="str">
            <v>PMAM7500521C1</v>
          </cell>
          <cell r="L185">
            <v>0</v>
          </cell>
        </row>
        <row r="186">
          <cell r="G186" t="str">
            <v>PMAM7500967D1-I</v>
          </cell>
          <cell r="L186">
            <v>0</v>
          </cell>
        </row>
        <row r="187">
          <cell r="G187" t="str">
            <v>PMAM7501089D1</v>
          </cell>
          <cell r="L187">
            <v>0</v>
          </cell>
        </row>
        <row r="188">
          <cell r="G188" t="str">
            <v>PMAM7501090D1</v>
          </cell>
          <cell r="L188">
            <v>0</v>
          </cell>
        </row>
        <row r="189">
          <cell r="G189" t="str">
            <v>PMAM7501104D1</v>
          </cell>
          <cell r="L189">
            <v>0</v>
          </cell>
        </row>
        <row r="190">
          <cell r="G190" t="str">
            <v>PMAM7501126D91</v>
          </cell>
          <cell r="L190">
            <v>0</v>
          </cell>
        </row>
        <row r="191">
          <cell r="G191" t="str">
            <v>PMAM7501127D91</v>
          </cell>
          <cell r="L191">
            <v>0</v>
          </cell>
        </row>
        <row r="192">
          <cell r="G192" t="str">
            <v>PMAM7505183C11</v>
          </cell>
          <cell r="L192">
            <v>0</v>
          </cell>
        </row>
        <row r="193">
          <cell r="G193" t="str">
            <v>PMAM7505186C11</v>
          </cell>
          <cell r="L193">
            <v>0</v>
          </cell>
        </row>
        <row r="194">
          <cell r="G194" t="str">
            <v>PMAM75155377D1</v>
          </cell>
          <cell r="L194">
            <v>0</v>
          </cell>
        </row>
        <row r="195">
          <cell r="G195" t="str">
            <v>PMAM7538108D91</v>
          </cell>
          <cell r="L195">
            <v>0</v>
          </cell>
        </row>
        <row r="196">
          <cell r="G196" t="str">
            <v>PMAM7538113D91</v>
          </cell>
          <cell r="L196">
            <v>0</v>
          </cell>
        </row>
        <row r="197">
          <cell r="G197" t="str">
            <v>PMAM7538114D1</v>
          </cell>
          <cell r="L197">
            <v>0</v>
          </cell>
        </row>
        <row r="198">
          <cell r="G198" t="str">
            <v>PMAM7538117D91</v>
          </cell>
          <cell r="L198">
            <v>0</v>
          </cell>
        </row>
        <row r="199">
          <cell r="G199" t="str">
            <v>PMAM7538151D1-I</v>
          </cell>
          <cell r="L199">
            <v>0</v>
          </cell>
        </row>
        <row r="200">
          <cell r="G200" t="str">
            <v>PMAM7538265D91</v>
          </cell>
          <cell r="L200">
            <v>0</v>
          </cell>
        </row>
        <row r="201">
          <cell r="G201" t="str">
            <v>PMAM7538266D1</v>
          </cell>
          <cell r="L201">
            <v>42</v>
          </cell>
        </row>
        <row r="202">
          <cell r="G202" t="str">
            <v>PMAM7538271D1</v>
          </cell>
          <cell r="L202">
            <v>0</v>
          </cell>
        </row>
        <row r="203">
          <cell r="G203" t="str">
            <v>PMAM7538272D1</v>
          </cell>
          <cell r="L203">
            <v>0</v>
          </cell>
        </row>
        <row r="204">
          <cell r="G204" t="str">
            <v>PMAM7538327D1-I</v>
          </cell>
          <cell r="L204">
            <v>0</v>
          </cell>
        </row>
        <row r="205">
          <cell r="G205" t="str">
            <v>PMAM7538480D1</v>
          </cell>
          <cell r="L205">
            <v>0</v>
          </cell>
        </row>
        <row r="206">
          <cell r="G206" t="str">
            <v>PMAM7538516D1</v>
          </cell>
          <cell r="L206">
            <v>0</v>
          </cell>
        </row>
        <row r="207">
          <cell r="G207" t="str">
            <v>PMAM7539371D1</v>
          </cell>
          <cell r="L207">
            <v>0</v>
          </cell>
        </row>
        <row r="208">
          <cell r="G208" t="str">
            <v>PMAM7539393D1-I</v>
          </cell>
          <cell r="L208">
            <v>636</v>
          </cell>
        </row>
        <row r="209">
          <cell r="G209" t="str">
            <v>PMAM7539735D1-I</v>
          </cell>
          <cell r="L209">
            <v>365</v>
          </cell>
        </row>
        <row r="210">
          <cell r="G210" t="str">
            <v>PMAM7903754C11-V</v>
          </cell>
          <cell r="L210">
            <v>0</v>
          </cell>
        </row>
        <row r="211">
          <cell r="G211" t="str">
            <v>PMAM7903755C11-V</v>
          </cell>
          <cell r="L211">
            <v>0</v>
          </cell>
        </row>
        <row r="212">
          <cell r="G212" t="str">
            <v>PMAME007531704D1</v>
          </cell>
          <cell r="L212">
            <v>0</v>
          </cell>
        </row>
        <row r="213">
          <cell r="G213" t="str">
            <v>PMNA1104AAA03100N</v>
          </cell>
          <cell r="L213">
            <v>0</v>
          </cell>
        </row>
        <row r="214">
          <cell r="G214" t="str">
            <v>PMNA6101EAJ00030-I</v>
          </cell>
          <cell r="L214">
            <v>198</v>
          </cell>
        </row>
        <row r="215">
          <cell r="G215" t="str">
            <v>PMNA6101EAJ00040-I</v>
          </cell>
          <cell r="L215">
            <v>198</v>
          </cell>
        </row>
        <row r="216">
          <cell r="G216" t="str">
            <v>PMVM0101BAZ3050N-I</v>
          </cell>
          <cell r="L216">
            <v>0</v>
          </cell>
        </row>
        <row r="217">
          <cell r="G217" t="str">
            <v>PMVM0101BAZ3710N-I</v>
          </cell>
          <cell r="L217">
            <v>0</v>
          </cell>
        </row>
        <row r="218">
          <cell r="G218" t="str">
            <v>PMVM0101BAZ4430N-I</v>
          </cell>
          <cell r="L218">
            <v>0</v>
          </cell>
        </row>
        <row r="219">
          <cell r="G219" t="str">
            <v>PMVM0102AAW02550N</v>
          </cell>
          <cell r="L219">
            <v>0</v>
          </cell>
        </row>
        <row r="220">
          <cell r="G220" t="str">
            <v>PTML265188508207-I</v>
          </cell>
          <cell r="L220">
            <v>211</v>
          </cell>
        </row>
        <row r="221">
          <cell r="G221" t="str">
            <v>PTML265188508216-I</v>
          </cell>
          <cell r="L221">
            <v>190</v>
          </cell>
        </row>
        <row r="222">
          <cell r="G222" t="str">
            <v>PTML284588460106-I</v>
          </cell>
          <cell r="L222">
            <v>0</v>
          </cell>
        </row>
        <row r="223">
          <cell r="G223" t="str">
            <v>PMAM007642334U1-V</v>
          </cell>
          <cell r="L223">
            <v>0</v>
          </cell>
        </row>
        <row r="224">
          <cell r="G224" t="str">
            <v>PMAM007642393U1-V</v>
          </cell>
          <cell r="L224">
            <v>0</v>
          </cell>
        </row>
        <row r="225">
          <cell r="G225" t="str">
            <v>PMAM7637191D1-V</v>
          </cell>
          <cell r="L225">
            <v>0</v>
          </cell>
        </row>
        <row r="226">
          <cell r="G226" t="str">
            <v>PMAM7637192D1-V</v>
          </cell>
          <cell r="L226">
            <v>0</v>
          </cell>
        </row>
        <row r="227">
          <cell r="G227" t="str">
            <v>PMAM7637193D1-V</v>
          </cell>
          <cell r="L227">
            <v>0</v>
          </cell>
        </row>
        <row r="228">
          <cell r="G228" t="str">
            <v>PMAM7637194D1-V</v>
          </cell>
          <cell r="L228">
            <v>0</v>
          </cell>
        </row>
        <row r="229">
          <cell r="G229" t="str">
            <v>PMAM7637197D1-V</v>
          </cell>
          <cell r="L229">
            <v>0</v>
          </cell>
        </row>
        <row r="230">
          <cell r="G230" t="str">
            <v>PMAM7637198D1-V</v>
          </cell>
          <cell r="L230">
            <v>0</v>
          </cell>
        </row>
        <row r="231">
          <cell r="G231" t="str">
            <v>PMAM7637380D1-V</v>
          </cell>
          <cell r="L231">
            <v>0</v>
          </cell>
        </row>
        <row r="232">
          <cell r="G232" t="str">
            <v>PMAM7637397U1-I</v>
          </cell>
          <cell r="L232">
            <v>0</v>
          </cell>
        </row>
        <row r="233">
          <cell r="G233" t="str">
            <v>PMAM7637587D1-V</v>
          </cell>
          <cell r="L233">
            <v>0</v>
          </cell>
        </row>
        <row r="234">
          <cell r="G234" t="str">
            <v>PMAM7637588D1-V</v>
          </cell>
          <cell r="L234">
            <v>0</v>
          </cell>
        </row>
        <row r="235">
          <cell r="G235" t="str">
            <v>PMAM7637589D1-V</v>
          </cell>
          <cell r="L235">
            <v>0</v>
          </cell>
        </row>
        <row r="236">
          <cell r="G236" t="str">
            <v>PMAM7637590D1-V</v>
          </cell>
          <cell r="L236">
            <v>0</v>
          </cell>
        </row>
        <row r="237">
          <cell r="G237" t="str">
            <v>PMAM7637608D1-V</v>
          </cell>
          <cell r="L237">
            <v>0</v>
          </cell>
        </row>
        <row r="238">
          <cell r="G238" t="str">
            <v>PMAM7637683U1-V</v>
          </cell>
          <cell r="L238">
            <v>0</v>
          </cell>
        </row>
        <row r="239">
          <cell r="G239" t="str">
            <v>PMAM7637692U1-V</v>
          </cell>
          <cell r="L239">
            <v>0</v>
          </cell>
        </row>
        <row r="240">
          <cell r="G240" t="str">
            <v>PMAM7639429D1-V</v>
          </cell>
          <cell r="L240">
            <v>0</v>
          </cell>
        </row>
        <row r="241">
          <cell r="G241" t="str">
            <v>PMAM7639430D1-V</v>
          </cell>
          <cell r="L241">
            <v>0</v>
          </cell>
        </row>
        <row r="242">
          <cell r="G242" t="str">
            <v>PMAM0102AAW00830N</v>
          </cell>
          <cell r="L242">
            <v>0</v>
          </cell>
        </row>
        <row r="243">
          <cell r="G243" t="str">
            <v>PMAM0102AW0460N</v>
          </cell>
          <cell r="L243">
            <v>0</v>
          </cell>
        </row>
        <row r="244">
          <cell r="G244" t="str">
            <v>PMVM0101BAZ02960-I</v>
          </cell>
          <cell r="L244">
            <v>-125</v>
          </cell>
        </row>
        <row r="245">
          <cell r="G245" t="str">
            <v>PMAM000060439M01</v>
          </cell>
          <cell r="L245">
            <v>0</v>
          </cell>
        </row>
        <row r="246">
          <cell r="G246" t="str">
            <v>PMAM000060975M01</v>
          </cell>
          <cell r="L246">
            <v>0</v>
          </cell>
        </row>
        <row r="247">
          <cell r="G247" t="str">
            <v>PMAM000061167M01</v>
          </cell>
          <cell r="L247">
            <v>0</v>
          </cell>
        </row>
        <row r="248">
          <cell r="G248" t="str">
            <v>PMAM0060528M01</v>
          </cell>
          <cell r="L248">
            <v>0</v>
          </cell>
        </row>
        <row r="249">
          <cell r="G249" t="str">
            <v>PMAM007501129D1</v>
          </cell>
          <cell r="L249">
            <v>0</v>
          </cell>
        </row>
        <row r="250">
          <cell r="G250" t="str">
            <v>PMAM007501130D1</v>
          </cell>
          <cell r="L250">
            <v>0</v>
          </cell>
        </row>
        <row r="251">
          <cell r="G251" t="str">
            <v>PMAM7530151D1-I</v>
          </cell>
          <cell r="L251">
            <v>3</v>
          </cell>
        </row>
        <row r="252">
          <cell r="G252" t="str">
            <v>PMAM7530152D1-I</v>
          </cell>
          <cell r="L252">
            <v>0</v>
          </cell>
        </row>
        <row r="253">
          <cell r="G253" t="str">
            <v>PMAM007530153D1-I</v>
          </cell>
          <cell r="L253">
            <v>2</v>
          </cell>
        </row>
        <row r="254">
          <cell r="G254" t="str">
            <v>PMAM007530221C1</v>
          </cell>
          <cell r="L254">
            <v>0</v>
          </cell>
        </row>
        <row r="255">
          <cell r="G255" t="str">
            <v>PMAM007530223C1</v>
          </cell>
          <cell r="L255">
            <v>0</v>
          </cell>
        </row>
        <row r="256">
          <cell r="G256" t="str">
            <v>PMAM007530224C1</v>
          </cell>
          <cell r="L256">
            <v>0</v>
          </cell>
        </row>
        <row r="257">
          <cell r="G257" t="str">
            <v>PMAM007530230C1</v>
          </cell>
          <cell r="L257">
            <v>0</v>
          </cell>
        </row>
        <row r="258">
          <cell r="G258" t="str">
            <v>PMAM007530348C1</v>
          </cell>
          <cell r="L258">
            <v>0</v>
          </cell>
        </row>
        <row r="259">
          <cell r="G259" t="str">
            <v>PMAM007538269D91</v>
          </cell>
          <cell r="L259">
            <v>0</v>
          </cell>
        </row>
        <row r="260">
          <cell r="G260" t="str">
            <v>PMAM0101EAR03720N</v>
          </cell>
          <cell r="L260">
            <v>0</v>
          </cell>
        </row>
        <row r="261">
          <cell r="G261" t="str">
            <v>PMAM0102AAW01460N</v>
          </cell>
          <cell r="L261">
            <v>0</v>
          </cell>
        </row>
        <row r="262">
          <cell r="G262" t="str">
            <v>PMAM07501106D91</v>
          </cell>
          <cell r="L262">
            <v>0</v>
          </cell>
        </row>
        <row r="263">
          <cell r="G263" t="str">
            <v>PMAM60476M01-I</v>
          </cell>
          <cell r="L263">
            <v>0</v>
          </cell>
        </row>
        <row r="264">
          <cell r="G264" t="str">
            <v>PMAM60477M01-I</v>
          </cell>
          <cell r="L264">
            <v>0</v>
          </cell>
        </row>
        <row r="265">
          <cell r="G265" t="str">
            <v>PMAM60861M01-I</v>
          </cell>
          <cell r="L265">
            <v>0</v>
          </cell>
        </row>
        <row r="266">
          <cell r="G266" t="str">
            <v>PMAM60862M01-I</v>
          </cell>
          <cell r="L266">
            <v>0</v>
          </cell>
        </row>
        <row r="267">
          <cell r="G267" t="str">
            <v>PMAM7500991D1-I</v>
          </cell>
          <cell r="L267">
            <v>0</v>
          </cell>
        </row>
        <row r="268">
          <cell r="G268" t="str">
            <v>PMAM7501098D1-I</v>
          </cell>
          <cell r="L268">
            <v>0</v>
          </cell>
        </row>
        <row r="269">
          <cell r="G269" t="str">
            <v>PMAM7501099D1-I</v>
          </cell>
          <cell r="L269">
            <v>0</v>
          </cell>
        </row>
        <row r="270">
          <cell r="G270" t="str">
            <v>PMAM7505219C1</v>
          </cell>
          <cell r="L270">
            <v>0</v>
          </cell>
        </row>
        <row r="271">
          <cell r="G271" t="str">
            <v>PMAM7505220C1-V</v>
          </cell>
          <cell r="L271">
            <v>0</v>
          </cell>
        </row>
        <row r="272">
          <cell r="G272" t="str">
            <v>PMAM7505221C1-V</v>
          </cell>
          <cell r="L272">
            <v>0</v>
          </cell>
        </row>
        <row r="273">
          <cell r="G273" t="str">
            <v>PMAM7505222C1-V</v>
          </cell>
          <cell r="L273">
            <v>0</v>
          </cell>
        </row>
        <row r="274">
          <cell r="G274" t="str">
            <v>PMAM7538165D1</v>
          </cell>
          <cell r="L274">
            <v>0</v>
          </cell>
        </row>
        <row r="275">
          <cell r="G275" t="str">
            <v>PMNA6101BAA00320NI</v>
          </cell>
          <cell r="L275">
            <v>-2251</v>
          </cell>
        </row>
        <row r="276">
          <cell r="G276" t="str">
            <v>PMNA6101DAA00210NI</v>
          </cell>
          <cell r="L276">
            <v>1922</v>
          </cell>
        </row>
        <row r="277">
          <cell r="G277" t="str">
            <v>PMNA6101DAC00410NI</v>
          </cell>
          <cell r="L277">
            <v>0</v>
          </cell>
        </row>
        <row r="278">
          <cell r="G278" t="str">
            <v>PMNA6101DAC00430NI</v>
          </cell>
          <cell r="L278">
            <v>0</v>
          </cell>
        </row>
        <row r="279">
          <cell r="G279" t="str">
            <v>PMNA6101EAA00450NI  </v>
          </cell>
          <cell r="L279">
            <v>-4215</v>
          </cell>
        </row>
        <row r="280">
          <cell r="G280" t="str">
            <v>PMNA6103AAA00310NI</v>
          </cell>
          <cell r="L280">
            <v>-5073</v>
          </cell>
        </row>
        <row r="281">
          <cell r="G281" t="str">
            <v>PMNA6103BAA00050NI</v>
          </cell>
          <cell r="L281">
            <v>-1193</v>
          </cell>
        </row>
        <row r="282">
          <cell r="G282" t="str">
            <v>PMVL0101EAR03160NV</v>
          </cell>
          <cell r="L282">
            <v>0</v>
          </cell>
        </row>
        <row r="283">
          <cell r="G283" t="str">
            <v>PMVM0101BAR09290-I</v>
          </cell>
          <cell r="L283">
            <v>0</v>
          </cell>
        </row>
        <row r="284">
          <cell r="G284" t="str">
            <v>PMVM0101BAR09310-I</v>
          </cell>
          <cell r="L284">
            <v>0</v>
          </cell>
        </row>
        <row r="285">
          <cell r="G285" t="str">
            <v>PMVM0101CAW00530-I</v>
          </cell>
          <cell r="L285">
            <v>0</v>
          </cell>
        </row>
        <row r="286">
          <cell r="G286" t="str">
            <v>PTML267488503304-I</v>
          </cell>
          <cell r="L286">
            <v>740</v>
          </cell>
        </row>
        <row r="287">
          <cell r="G287" t="str">
            <v>PTML267488503305-I</v>
          </cell>
          <cell r="L287">
            <v>740</v>
          </cell>
        </row>
        <row r="288">
          <cell r="G288" t="str">
            <v>PTML267488508226-I</v>
          </cell>
          <cell r="L288">
            <v>0</v>
          </cell>
        </row>
        <row r="289">
          <cell r="G289" t="str">
            <v>PTML267488508227-I</v>
          </cell>
          <cell r="L289">
            <v>392</v>
          </cell>
        </row>
        <row r="290">
          <cell r="G290" t="str">
            <v>PTML267488508230-I</v>
          </cell>
          <cell r="L290">
            <v>0</v>
          </cell>
        </row>
        <row r="291">
          <cell r="G291" t="str">
            <v>PTML267488508231-I</v>
          </cell>
          <cell r="L291">
            <v>0</v>
          </cell>
        </row>
        <row r="292">
          <cell r="G292" t="str">
            <v>PTML555046803303-I</v>
          </cell>
          <cell r="L292">
            <v>0</v>
          </cell>
        </row>
        <row r="293">
          <cell r="G293" t="str">
            <v>PTML267488508256-I</v>
          </cell>
          <cell r="L293">
            <v>3545</v>
          </cell>
        </row>
        <row r="294">
          <cell r="G294" t="str">
            <v>PMAM007500018D1-I</v>
          </cell>
          <cell r="L294">
            <v>466</v>
          </cell>
        </row>
        <row r="295">
          <cell r="G295" t="str">
            <v>PMAM007500020D2-I</v>
          </cell>
          <cell r="L295">
            <v>0</v>
          </cell>
        </row>
        <row r="296">
          <cell r="G296" t="str">
            <v>PMAM007500604D91</v>
          </cell>
          <cell r="L296">
            <v>89</v>
          </cell>
        </row>
        <row r="297">
          <cell r="G297" t="str">
            <v>PMAM007501128D1</v>
          </cell>
          <cell r="L297">
            <v>3</v>
          </cell>
        </row>
        <row r="298">
          <cell r="G298" t="str">
            <v>PMAM007530796D1</v>
          </cell>
          <cell r="L298">
            <v>297</v>
          </cell>
        </row>
        <row r="299">
          <cell r="G299" t="str">
            <v>PMAM0102AAW01500N</v>
          </cell>
          <cell r="L299">
            <v>0</v>
          </cell>
        </row>
        <row r="300">
          <cell r="G300" t="str">
            <v>PMAM0102AAW01530N</v>
          </cell>
          <cell r="L300">
            <v>0</v>
          </cell>
        </row>
        <row r="301">
          <cell r="G301" t="str">
            <v>PMAM0102AAW01750NI</v>
          </cell>
          <cell r="L301">
            <v>246</v>
          </cell>
        </row>
        <row r="302">
          <cell r="G302" t="str">
            <v>PMAM7501085D1</v>
          </cell>
          <cell r="L302">
            <v>0</v>
          </cell>
        </row>
        <row r="303">
          <cell r="G303" t="str">
            <v>PMAM7501086D1</v>
          </cell>
          <cell r="L303">
            <v>0</v>
          </cell>
        </row>
        <row r="304">
          <cell r="G304" t="str">
            <v>PMAM7501101D1</v>
          </cell>
          <cell r="L304">
            <v>0</v>
          </cell>
        </row>
        <row r="305">
          <cell r="G305" t="str">
            <v>PMAM7501102D1</v>
          </cell>
          <cell r="L305">
            <v>0</v>
          </cell>
        </row>
        <row r="306">
          <cell r="G306" t="str">
            <v>PMAM7501145D1</v>
          </cell>
          <cell r="L306">
            <v>0</v>
          </cell>
        </row>
        <row r="307">
          <cell r="G307" t="str">
            <v>PMAM7501146D1</v>
          </cell>
          <cell r="L307">
            <v>0</v>
          </cell>
        </row>
        <row r="308">
          <cell r="G308" t="str">
            <v>PMAM7505074D91</v>
          </cell>
          <cell r="L308">
            <v>0</v>
          </cell>
        </row>
        <row r="309">
          <cell r="G309" t="str">
            <v>PMAM7505075D91</v>
          </cell>
          <cell r="L309">
            <v>0</v>
          </cell>
        </row>
        <row r="310">
          <cell r="G310" t="str">
            <v>PMAM7505333D1</v>
          </cell>
          <cell r="L310">
            <v>0</v>
          </cell>
        </row>
        <row r="311">
          <cell r="G311" t="str">
            <v>PMAM7537439C1</v>
          </cell>
          <cell r="L311">
            <v>110</v>
          </cell>
        </row>
        <row r="312">
          <cell r="G312" t="str">
            <v>PMAM7537440C1-I</v>
          </cell>
          <cell r="L312">
            <v>1402</v>
          </cell>
        </row>
        <row r="313">
          <cell r="G313" t="str">
            <v>PMAM7537441C1</v>
          </cell>
          <cell r="L313">
            <v>0</v>
          </cell>
        </row>
        <row r="314">
          <cell r="G314" t="str">
            <v>PMAM7538161D91</v>
          </cell>
          <cell r="L314">
            <v>28</v>
          </cell>
        </row>
        <row r="315">
          <cell r="G315" t="str">
            <v>PMAM7539386D91</v>
          </cell>
          <cell r="L315">
            <v>78</v>
          </cell>
        </row>
        <row r="316">
          <cell r="G316" t="str">
            <v>PMAM7539426D1</v>
          </cell>
          <cell r="L316">
            <v>0</v>
          </cell>
        </row>
        <row r="317">
          <cell r="G317" t="str">
            <v>PMAM7539427D1</v>
          </cell>
          <cell r="L317">
            <v>0</v>
          </cell>
        </row>
        <row r="318">
          <cell r="G318" t="str">
            <v>PTML284554608214-I</v>
          </cell>
          <cell r="L318">
            <v>4242</v>
          </cell>
        </row>
        <row r="319">
          <cell r="G319" t="str">
            <v>PTML284562218213-V</v>
          </cell>
          <cell r="L319">
            <v>0</v>
          </cell>
        </row>
        <row r="320">
          <cell r="G320" t="str">
            <v>PTML284562608239-I</v>
          </cell>
          <cell r="L320">
            <v>-1316</v>
          </cell>
        </row>
        <row r="321">
          <cell r="G321" t="str">
            <v>PTML284562608240-I</v>
          </cell>
          <cell r="L321">
            <v>0</v>
          </cell>
        </row>
        <row r="322">
          <cell r="G322" t="str">
            <v>PMAM7500956D1</v>
          </cell>
          <cell r="L322">
            <v>0</v>
          </cell>
        </row>
        <row r="323">
          <cell r="G323" t="str">
            <v>PMAM7505011D3</v>
          </cell>
          <cell r="L323">
            <v>115</v>
          </cell>
        </row>
        <row r="324">
          <cell r="G324" t="str">
            <v>PMAM7505012D3</v>
          </cell>
          <cell r="L324">
            <v>106</v>
          </cell>
        </row>
        <row r="325">
          <cell r="G325" t="str">
            <v>PMAM7505013D3</v>
          </cell>
          <cell r="L325">
            <v>365</v>
          </cell>
        </row>
        <row r="326">
          <cell r="G326" t="str">
            <v>PMAM7505014D3</v>
          </cell>
          <cell r="L326">
            <v>371</v>
          </cell>
        </row>
        <row r="327">
          <cell r="G327" t="str">
            <v>PMAM7505051D2</v>
          </cell>
          <cell r="L327">
            <v>680</v>
          </cell>
        </row>
        <row r="328">
          <cell r="G328" t="str">
            <v>PMAM7510014D3</v>
          </cell>
          <cell r="L328">
            <v>0</v>
          </cell>
        </row>
        <row r="329">
          <cell r="G329" t="str">
            <v>PMAM7530565D2</v>
          </cell>
          <cell r="L329">
            <v>129</v>
          </cell>
        </row>
        <row r="330">
          <cell r="G330" t="str">
            <v>PMAM7531040D1</v>
          </cell>
          <cell r="L330">
            <v>0</v>
          </cell>
        </row>
        <row r="331">
          <cell r="G331" t="str">
            <v>PMAM7537267D1</v>
          </cell>
          <cell r="L331">
            <v>0</v>
          </cell>
        </row>
        <row r="332">
          <cell r="G332" t="str">
            <v>PMN6103AAA00090N-V</v>
          </cell>
          <cell r="L332">
            <v>395</v>
          </cell>
        </row>
        <row r="333">
          <cell r="G333" t="str">
            <v>PMN6103AAA00100N-V</v>
          </cell>
          <cell r="L333">
            <v>242</v>
          </cell>
        </row>
        <row r="334">
          <cell r="G334" t="str">
            <v>PMNA93500040-V</v>
          </cell>
          <cell r="L334">
            <v>0</v>
          </cell>
        </row>
        <row r="335">
          <cell r="G335" t="str">
            <v>PMTB6101GAA0270N-V</v>
          </cell>
          <cell r="L335">
            <v>0</v>
          </cell>
        </row>
        <row r="336">
          <cell r="G336" t="str">
            <v>PMTB6101GAA0280N-V</v>
          </cell>
          <cell r="L336">
            <v>0</v>
          </cell>
        </row>
        <row r="337">
          <cell r="G337" t="str">
            <v>PMAM007537444C1</v>
          </cell>
          <cell r="L337">
            <v>0</v>
          </cell>
        </row>
        <row r="338">
          <cell r="G338" t="str">
            <v>PMNA6101EAA00280NI</v>
          </cell>
          <cell r="L338">
            <v>-4558</v>
          </cell>
        </row>
        <row r="339">
          <cell r="G339" t="str">
            <v>PMAM0101EAW03260NI</v>
          </cell>
          <cell r="L339">
            <v>20407</v>
          </cell>
        </row>
        <row r="340">
          <cell r="G340" t="str">
            <v>PMAM0101EAW01720-I</v>
          </cell>
          <cell r="L340">
            <v>-79241</v>
          </cell>
        </row>
        <row r="341">
          <cell r="G341" t="str">
            <v>PMNA6101DAC00450NI</v>
          </cell>
          <cell r="L341">
            <v>0</v>
          </cell>
        </row>
        <row r="342">
          <cell r="G342" t="str">
            <v>PMVL0101EAR3660N-V</v>
          </cell>
          <cell r="L342">
            <v>0</v>
          </cell>
        </row>
        <row r="343">
          <cell r="G343" t="str">
            <v>PMVL0101EAP5790N-V</v>
          </cell>
          <cell r="L343">
            <v>0</v>
          </cell>
        </row>
        <row r="344">
          <cell r="G344" t="str">
            <v>PMVL0101EAP6170N-V</v>
          </cell>
          <cell r="L344">
            <v>0</v>
          </cell>
        </row>
        <row r="345">
          <cell r="G345" t="str">
            <v>PTML269988700105N</v>
          </cell>
          <cell r="L345">
            <v>0</v>
          </cell>
        </row>
        <row r="346">
          <cell r="G346" t="str">
            <v>PMAM0101DW0078NV</v>
          </cell>
          <cell r="L346">
            <v>0</v>
          </cell>
        </row>
        <row r="347">
          <cell r="G347" t="str">
            <v>PMAM0101EAW03300N</v>
          </cell>
          <cell r="L347">
            <v>0</v>
          </cell>
        </row>
        <row r="348">
          <cell r="G348" t="str">
            <v>PMAM0101EAW03310N</v>
          </cell>
          <cell r="L348">
            <v>0</v>
          </cell>
        </row>
        <row r="349">
          <cell r="G349" t="str">
            <v>PMAM0101EW01180N-I</v>
          </cell>
          <cell r="L349">
            <v>55</v>
          </cell>
        </row>
        <row r="350">
          <cell r="G350" t="str">
            <v>PMAM0101EW01190N-I</v>
          </cell>
          <cell r="L350">
            <v>368</v>
          </cell>
        </row>
        <row r="351">
          <cell r="G351" t="str">
            <v>PMAM0102AAW01320N</v>
          </cell>
          <cell r="L351">
            <v>0</v>
          </cell>
        </row>
        <row r="352">
          <cell r="G352" t="str">
            <v>PMAM0102AAW01690NI</v>
          </cell>
          <cell r="L352">
            <v>0</v>
          </cell>
        </row>
        <row r="353">
          <cell r="G353" t="str">
            <v>PMVM102EAW00740N-I</v>
          </cell>
          <cell r="L353">
            <v>0</v>
          </cell>
        </row>
        <row r="354">
          <cell r="G354" t="str">
            <v>PMVL0101BAP2120N-V</v>
          </cell>
          <cell r="L354">
            <v>0</v>
          </cell>
        </row>
        <row r="355">
          <cell r="G355" t="str">
            <v>PMVL0101BAP2190N-V</v>
          </cell>
          <cell r="L355">
            <v>0</v>
          </cell>
        </row>
        <row r="356">
          <cell r="G356" t="str">
            <v>PMVL0101ER0850N-V</v>
          </cell>
          <cell r="L356">
            <v>0</v>
          </cell>
        </row>
        <row r="357">
          <cell r="G357" t="str">
            <v>PMAM0102AAW02190N</v>
          </cell>
          <cell r="L357">
            <v>313</v>
          </cell>
        </row>
        <row r="358">
          <cell r="G358" t="str">
            <v>PMAM0101DW0070N-I</v>
          </cell>
          <cell r="L358">
            <v>0</v>
          </cell>
        </row>
        <row r="359">
          <cell r="G359" t="str">
            <v>PMAM0101DW0080N-I</v>
          </cell>
          <cell r="L359">
            <v>0</v>
          </cell>
        </row>
        <row r="360">
          <cell r="G360" t="str">
            <v>PMVM2302AAN01480-V</v>
          </cell>
          <cell r="L360">
            <v>3750</v>
          </cell>
        </row>
        <row r="361">
          <cell r="G361" t="str">
            <v>PMVM0102AU301150-I</v>
          </cell>
          <cell r="L361">
            <v>3783</v>
          </cell>
        </row>
        <row r="362">
          <cell r="G362" t="str">
            <v>PMAM102AU301170N-I</v>
          </cell>
          <cell r="L362">
            <v>1211</v>
          </cell>
        </row>
        <row r="363">
          <cell r="G363" t="str">
            <v>PMVM0101EAR1120N-I</v>
          </cell>
          <cell r="L363">
            <v>0</v>
          </cell>
        </row>
        <row r="364">
          <cell r="G364" t="str">
            <v>PMAM0101AAW01570NI</v>
          </cell>
          <cell r="L364">
            <v>0</v>
          </cell>
        </row>
        <row r="365">
          <cell r="G365" t="str">
            <v>PMVL0102AAW02400N</v>
          </cell>
          <cell r="L365">
            <v>0</v>
          </cell>
        </row>
        <row r="366">
          <cell r="G366" t="str">
            <v>PMVL0101EAR3650N-V</v>
          </cell>
          <cell r="L366">
            <v>0</v>
          </cell>
        </row>
        <row r="367">
          <cell r="G367" t="str">
            <v>PMAM0102EW0070N</v>
          </cell>
          <cell r="L367">
            <v>204</v>
          </cell>
        </row>
        <row r="368">
          <cell r="G368" t="str">
            <v>PMAM0102EW0080N</v>
          </cell>
          <cell r="L368">
            <v>357</v>
          </cell>
        </row>
        <row r="369">
          <cell r="G369" t="str">
            <v>PMAM0101EAW03070NI</v>
          </cell>
          <cell r="L369">
            <v>1653</v>
          </cell>
        </row>
        <row r="370">
          <cell r="G370" t="str">
            <v>PMAM0101EAF02880-I</v>
          </cell>
          <cell r="L370">
            <v>-283</v>
          </cell>
        </row>
        <row r="371">
          <cell r="G371" t="str">
            <v>PMAM0102CAW00200N</v>
          </cell>
          <cell r="L371">
            <v>1141</v>
          </cell>
        </row>
        <row r="372">
          <cell r="G372" t="str">
            <v>PMAM0101EW1480N</v>
          </cell>
          <cell r="L372">
            <v>0</v>
          </cell>
        </row>
        <row r="373">
          <cell r="G373" t="str">
            <v>PMAM0101EW1490N</v>
          </cell>
          <cell r="L373">
            <v>0</v>
          </cell>
        </row>
        <row r="374">
          <cell r="G374" t="str">
            <v>PMVM0101EW0770N-V</v>
          </cell>
          <cell r="L374">
            <v>0</v>
          </cell>
        </row>
        <row r="375">
          <cell r="G375" t="str">
            <v>PMAM0101EAW02750NI</v>
          </cell>
          <cell r="L375">
            <v>0</v>
          </cell>
        </row>
        <row r="376">
          <cell r="G376" t="str">
            <v>PMVM0101ER0240N-V</v>
          </cell>
          <cell r="L376">
            <v>0</v>
          </cell>
        </row>
        <row r="377">
          <cell r="G377" t="str">
            <v>PMVM0101ER0230N-I</v>
          </cell>
          <cell r="L377">
            <v>750</v>
          </cell>
        </row>
        <row r="378">
          <cell r="G378" t="str">
            <v>PMAM34281-I</v>
          </cell>
          <cell r="L378">
            <v>-283</v>
          </cell>
        </row>
        <row r="379">
          <cell r="G379" t="str">
            <v>PMVM0101EAR2440N-I</v>
          </cell>
          <cell r="L379">
            <v>0</v>
          </cell>
        </row>
        <row r="380">
          <cell r="G380" t="str">
            <v>PMVM0101EAR2450N-I</v>
          </cell>
          <cell r="L380">
            <v>0</v>
          </cell>
        </row>
        <row r="381">
          <cell r="G381" t="str">
            <v>PMVM0101EAR3630N-I</v>
          </cell>
          <cell r="L381">
            <v>0</v>
          </cell>
        </row>
        <row r="382">
          <cell r="G382" t="str">
            <v>PMVM0101EAR3100N-I</v>
          </cell>
          <cell r="L382">
            <v>0</v>
          </cell>
        </row>
        <row r="383">
          <cell r="G383" t="str">
            <v>PMVM0101BW603580-I</v>
          </cell>
          <cell r="L383">
            <v>1231</v>
          </cell>
        </row>
        <row r="384">
          <cell r="G384" t="str">
            <v>PMVM0101DW600210-I</v>
          </cell>
          <cell r="L384">
            <v>500</v>
          </cell>
        </row>
        <row r="385">
          <cell r="G385" t="str">
            <v>PMVM0101BW602620-I</v>
          </cell>
          <cell r="L385">
            <v>3305</v>
          </cell>
        </row>
        <row r="386">
          <cell r="G386" t="str">
            <v>PMVM0101BW601550-I</v>
          </cell>
          <cell r="L386">
            <v>2036</v>
          </cell>
        </row>
        <row r="387">
          <cell r="G387" t="str">
            <v>PMVM0101BW603130-I</v>
          </cell>
          <cell r="L387">
            <v>1262</v>
          </cell>
        </row>
        <row r="388">
          <cell r="G388" t="str">
            <v>PMVM0101BW601960-I</v>
          </cell>
          <cell r="L388">
            <v>400</v>
          </cell>
        </row>
        <row r="389">
          <cell r="G389" t="str">
            <v>PMVM0101BW601950-I</v>
          </cell>
          <cell r="L389">
            <v>2975</v>
          </cell>
        </row>
        <row r="390">
          <cell r="G390" t="str">
            <v>PMVM0101BW601970-I</v>
          </cell>
          <cell r="L390">
            <v>1237</v>
          </cell>
        </row>
        <row r="391">
          <cell r="G391" t="str">
            <v>PMVM0101BW601980-I</v>
          </cell>
          <cell r="L391">
            <v>700</v>
          </cell>
        </row>
        <row r="392">
          <cell r="G392" t="str">
            <v>PMVM0101BW602730-I</v>
          </cell>
          <cell r="L392">
            <v>716</v>
          </cell>
        </row>
        <row r="393">
          <cell r="G393" t="str">
            <v>PMVM0101EW601940-I</v>
          </cell>
          <cell r="L393">
            <v>2185</v>
          </cell>
        </row>
        <row r="394">
          <cell r="G394" t="str">
            <v>PMVM0101EW601830-I</v>
          </cell>
          <cell r="L394">
            <v>1403</v>
          </cell>
        </row>
        <row r="395">
          <cell r="G395" t="str">
            <v>PMVM0101EW601840-I</v>
          </cell>
          <cell r="L395">
            <v>1502</v>
          </cell>
        </row>
        <row r="396">
          <cell r="G396" t="str">
            <v>PMVM0101EW600910-I</v>
          </cell>
          <cell r="L396">
            <v>1622</v>
          </cell>
        </row>
        <row r="397">
          <cell r="G397" t="str">
            <v>PMVM0101EW602320-I</v>
          </cell>
          <cell r="L397">
            <v>12181</v>
          </cell>
        </row>
        <row r="398">
          <cell r="G398" t="str">
            <v>PMVM0101EW602310-I</v>
          </cell>
          <cell r="L398">
            <v>2857</v>
          </cell>
        </row>
        <row r="399">
          <cell r="G399" t="str">
            <v>PMVM0101BW601110-I</v>
          </cell>
          <cell r="L399">
            <v>3015</v>
          </cell>
        </row>
        <row r="400">
          <cell r="G400" t="str">
            <v>PMVM0101EW602350-I</v>
          </cell>
          <cell r="L400">
            <v>1585</v>
          </cell>
        </row>
        <row r="401">
          <cell r="G401" t="str">
            <v>PMVM0101BAW04020-I</v>
          </cell>
          <cell r="L401">
            <v>-19880</v>
          </cell>
        </row>
        <row r="402">
          <cell r="G402" t="str">
            <v>PMVM0101BW603110-I</v>
          </cell>
          <cell r="L402">
            <v>3116</v>
          </cell>
        </row>
        <row r="403">
          <cell r="G403" t="str">
            <v>PMVM0101BW603120-I</v>
          </cell>
          <cell r="L403">
            <v>3609</v>
          </cell>
        </row>
        <row r="404">
          <cell r="G404" t="str">
            <v>PMVM2302AW600620-I</v>
          </cell>
          <cell r="L404">
            <v>0</v>
          </cell>
        </row>
        <row r="405">
          <cell r="G405" t="str">
            <v>PMVM2302AW600170-I</v>
          </cell>
          <cell r="L405">
            <v>0</v>
          </cell>
        </row>
        <row r="406">
          <cell r="G406" t="str">
            <v>PMVM2302AW600190-I</v>
          </cell>
          <cell r="L406">
            <v>286</v>
          </cell>
        </row>
        <row r="407">
          <cell r="G407" t="str">
            <v>PMVM2302AW600210-I</v>
          </cell>
          <cell r="L407">
            <v>1756</v>
          </cell>
        </row>
        <row r="408">
          <cell r="G408" t="str">
            <v>PMVM2302AW600260-I</v>
          </cell>
          <cell r="L408">
            <v>406</v>
          </cell>
        </row>
        <row r="409">
          <cell r="G409" t="str">
            <v>PMVM2302AW600250-I</v>
          </cell>
          <cell r="L409">
            <v>561</v>
          </cell>
        </row>
        <row r="410">
          <cell r="G410" t="str">
            <v>PMVM2302BW600180-I</v>
          </cell>
          <cell r="L410">
            <v>0</v>
          </cell>
        </row>
        <row r="411">
          <cell r="G411" t="str">
            <v>PMVM2302BW600220-I</v>
          </cell>
          <cell r="L411">
            <v>0</v>
          </cell>
        </row>
        <row r="412">
          <cell r="G412" t="str">
            <v>PMVM2302BW600190-I</v>
          </cell>
          <cell r="L412">
            <v>0</v>
          </cell>
        </row>
        <row r="413">
          <cell r="G413" t="str">
            <v>PMVM2302BW600210-I</v>
          </cell>
          <cell r="L413">
            <v>0</v>
          </cell>
        </row>
        <row r="414">
          <cell r="G414" t="str">
            <v>PMVM2302BW600200-I</v>
          </cell>
          <cell r="L414">
            <v>1907</v>
          </cell>
        </row>
        <row r="415">
          <cell r="G415" t="str">
            <v>PMVM0101BW603450-I</v>
          </cell>
          <cell r="L415">
            <v>162</v>
          </cell>
        </row>
        <row r="416">
          <cell r="G416" t="str">
            <v>PMVM0101BW603430-I</v>
          </cell>
          <cell r="L416">
            <v>969</v>
          </cell>
        </row>
        <row r="417">
          <cell r="G417" t="str">
            <v>PMAM61040M01-I</v>
          </cell>
          <cell r="L417">
            <v>1862</v>
          </cell>
        </row>
        <row r="418">
          <cell r="G418" t="str">
            <v>PMVM0101EAF03910-I</v>
          </cell>
          <cell r="L418">
            <v>885</v>
          </cell>
        </row>
        <row r="419">
          <cell r="G419" t="str">
            <v>PMVM0101EAF03920-I</v>
          </cell>
          <cell r="L419">
            <v>503</v>
          </cell>
        </row>
        <row r="420">
          <cell r="G420" t="str">
            <v>PMVM0101BAF05420-I</v>
          </cell>
          <cell r="L420">
            <v>2415</v>
          </cell>
        </row>
        <row r="421">
          <cell r="G421" t="str">
            <v>PMVM0101BAF05430-I</v>
          </cell>
          <cell r="L421">
            <v>4409</v>
          </cell>
        </row>
        <row r="422">
          <cell r="G422" t="str">
            <v>PMVM0101BAF05640-I</v>
          </cell>
          <cell r="L422">
            <v>618</v>
          </cell>
        </row>
        <row r="423">
          <cell r="G423" t="str">
            <v>PMVM0101BAF05650-I</v>
          </cell>
          <cell r="L423">
            <v>618</v>
          </cell>
        </row>
        <row r="424">
          <cell r="G424" t="str">
            <v>PMVM0101EAF03810-I</v>
          </cell>
          <cell r="L424">
            <v>935</v>
          </cell>
        </row>
        <row r="425">
          <cell r="G425" t="str">
            <v>PMVM0101EAF03820-I</v>
          </cell>
          <cell r="L425">
            <v>1011</v>
          </cell>
        </row>
        <row r="426">
          <cell r="G426" t="str">
            <v>PMVM0101BAF04930-I</v>
          </cell>
          <cell r="L426">
            <v>-53058</v>
          </cell>
        </row>
        <row r="427">
          <cell r="G427" t="str">
            <v>PMVM0101BAF04990-I</v>
          </cell>
          <cell r="L427">
            <v>-53058</v>
          </cell>
        </row>
        <row r="428">
          <cell r="G428" t="str">
            <v>PMVM0101BAF05230-I</v>
          </cell>
          <cell r="L428">
            <v>1765</v>
          </cell>
        </row>
        <row r="429">
          <cell r="G429" t="str">
            <v>PMVM0101BAF05240-I</v>
          </cell>
          <cell r="L429">
            <v>1765</v>
          </cell>
        </row>
        <row r="430">
          <cell r="G430" t="str">
            <v>PMVM0101BAF05600-I</v>
          </cell>
          <cell r="L430">
            <v>2330</v>
          </cell>
        </row>
        <row r="431">
          <cell r="G431" t="str">
            <v>PMVM0101BAF04880-I</v>
          </cell>
          <cell r="L431">
            <v>2330</v>
          </cell>
        </row>
        <row r="432">
          <cell r="G432" t="str">
            <v>PMVM2302AAN00480-I</v>
          </cell>
          <cell r="L432">
            <v>2983</v>
          </cell>
        </row>
        <row r="433">
          <cell r="G433" t="str">
            <v>PMVM2302AAN00500-I</v>
          </cell>
          <cell r="L433">
            <v>2983</v>
          </cell>
        </row>
        <row r="434">
          <cell r="G434" t="str">
            <v>PMVM2302AAN00460-I</v>
          </cell>
          <cell r="L434">
            <v>1633</v>
          </cell>
        </row>
        <row r="435">
          <cell r="G435" t="str">
            <v>PMVM2302AAN00520-I</v>
          </cell>
          <cell r="L435">
            <v>1865</v>
          </cell>
        </row>
        <row r="436">
          <cell r="G436" t="str">
            <v>PMVM2302AAN01090-I</v>
          </cell>
          <cell r="L436">
            <v>10744</v>
          </cell>
        </row>
        <row r="437">
          <cell r="G437" t="str">
            <v>PMVM2302AAN01100-I</v>
          </cell>
          <cell r="L437">
            <v>10731</v>
          </cell>
        </row>
        <row r="438">
          <cell r="G438" t="str">
            <v>PMVM2302AAN01280-I</v>
          </cell>
          <cell r="L438">
            <v>612</v>
          </cell>
        </row>
        <row r="439">
          <cell r="G439" t="str">
            <v>PMVM2302AAN01290-I</v>
          </cell>
          <cell r="L439">
            <v>612</v>
          </cell>
        </row>
        <row r="440">
          <cell r="G440" t="str">
            <v>PMVM2302AAN00610-I</v>
          </cell>
          <cell r="L440">
            <v>3289</v>
          </cell>
        </row>
        <row r="441">
          <cell r="G441" t="str">
            <v>PMVM2302AAN00620-I</v>
          </cell>
          <cell r="L441">
            <v>2327</v>
          </cell>
        </row>
        <row r="442">
          <cell r="G442" t="str">
            <v>PMVM0101EAF04040-I</v>
          </cell>
          <cell r="L442">
            <v>-28538</v>
          </cell>
        </row>
        <row r="443">
          <cell r="G443" t="str">
            <v>PMVM0101EAF04060-I</v>
          </cell>
          <cell r="L443">
            <v>-28538</v>
          </cell>
        </row>
        <row r="444">
          <cell r="G444" t="str">
            <v>PMVM0101BAF05250-I</v>
          </cell>
          <cell r="L444">
            <v>7395</v>
          </cell>
        </row>
        <row r="445">
          <cell r="G445" t="str">
            <v>PMVM0101BAF05310-I</v>
          </cell>
          <cell r="L445">
            <v>1165</v>
          </cell>
        </row>
        <row r="446">
          <cell r="G446" t="str">
            <v>PMVM0101BAF04900-I</v>
          </cell>
          <cell r="L446">
            <v>-106116</v>
          </cell>
        </row>
        <row r="447">
          <cell r="G447" t="str">
            <v>PMVM0101BAF04960-I</v>
          </cell>
          <cell r="L447">
            <v>3887</v>
          </cell>
        </row>
        <row r="448">
          <cell r="G448" t="str">
            <v>PMVM0101BAF05160-I</v>
          </cell>
          <cell r="L448">
            <v>-26529</v>
          </cell>
        </row>
        <row r="449">
          <cell r="G449" t="str">
            <v>PMVM0101BAF05220-I</v>
          </cell>
          <cell r="L449">
            <v>5930</v>
          </cell>
        </row>
        <row r="450">
          <cell r="G450" t="str">
            <v>PMVM0101BAF05280-I</v>
          </cell>
          <cell r="L450">
            <v>1125</v>
          </cell>
        </row>
        <row r="451">
          <cell r="G451" t="str">
            <v>PMVM0101BAF05390-I</v>
          </cell>
          <cell r="L451">
            <v>1332</v>
          </cell>
        </row>
        <row r="452">
          <cell r="G452" t="str">
            <v>PMVM0101BAF05610-I</v>
          </cell>
          <cell r="L452">
            <v>-53058</v>
          </cell>
        </row>
        <row r="453">
          <cell r="G453" t="str">
            <v>PMVM0101BAF05620-I</v>
          </cell>
          <cell r="L453">
            <v>-26529</v>
          </cell>
        </row>
        <row r="454">
          <cell r="G454" t="str">
            <v>PMVM0101BAF05680-I</v>
          </cell>
          <cell r="L454">
            <v>191</v>
          </cell>
        </row>
        <row r="455">
          <cell r="G455" t="str">
            <v>PMVM0101BAF05710-I</v>
          </cell>
          <cell r="L455">
            <v>10400</v>
          </cell>
        </row>
        <row r="456">
          <cell r="G456" t="str">
            <v>PMVM0101BAF06050-I</v>
          </cell>
          <cell r="L456">
            <v>-53058</v>
          </cell>
        </row>
        <row r="457">
          <cell r="G457" t="str">
            <v>PMVM0101BAF06120-I</v>
          </cell>
          <cell r="L457">
            <v>968</v>
          </cell>
        </row>
        <row r="458">
          <cell r="G458" t="str">
            <v>PMVM0101BAF06140-I</v>
          </cell>
          <cell r="L458">
            <v>1461</v>
          </cell>
        </row>
        <row r="459">
          <cell r="G459" t="str">
            <v>PMVM0101EAF04070-I</v>
          </cell>
          <cell r="L459">
            <v>7551</v>
          </cell>
        </row>
        <row r="460">
          <cell r="G460" t="str">
            <v>PMVM0101EAF03540-I</v>
          </cell>
          <cell r="L460">
            <v>3690</v>
          </cell>
        </row>
        <row r="461">
          <cell r="G461" t="str">
            <v>PMVM0101BAF06300-I</v>
          </cell>
          <cell r="L461">
            <v>-26529</v>
          </cell>
        </row>
        <row r="462">
          <cell r="G462" t="str">
            <v>PMAM0101BAF06350-I</v>
          </cell>
          <cell r="L462">
            <v>23264</v>
          </cell>
        </row>
        <row r="463">
          <cell r="G463" t="str">
            <v>PMAM0101BAF06380-I</v>
          </cell>
          <cell r="L463">
            <v>1025</v>
          </cell>
        </row>
        <row r="464">
          <cell r="G464" t="str">
            <v>PMVM0101BAF04920-I</v>
          </cell>
          <cell r="L464">
            <v>-53058</v>
          </cell>
        </row>
        <row r="465">
          <cell r="G465" t="str">
            <v>PMVM0101BAF04950-I</v>
          </cell>
          <cell r="L465">
            <v>-53058</v>
          </cell>
        </row>
        <row r="466">
          <cell r="G466" t="str">
            <v>PMVM0101EAF03960-I</v>
          </cell>
          <cell r="L466">
            <v>-53650</v>
          </cell>
        </row>
        <row r="467">
          <cell r="G467" t="str">
            <v>PMVM101BZ103090N-I</v>
          </cell>
          <cell r="L467">
            <v>4000</v>
          </cell>
        </row>
        <row r="468">
          <cell r="G468" t="str">
            <v>PMVM102AZ101980N-I</v>
          </cell>
          <cell r="L468">
            <v>1997</v>
          </cell>
        </row>
        <row r="469">
          <cell r="G469" t="str">
            <v>PMVM101BZ102290N-I</v>
          </cell>
          <cell r="L469">
            <v>3713</v>
          </cell>
        </row>
        <row r="470">
          <cell r="G470" t="str">
            <v>PMVM101BZ102280N-I</v>
          </cell>
          <cell r="L470">
            <v>3337</v>
          </cell>
        </row>
        <row r="471">
          <cell r="G471" t="str">
            <v>PMVM101EZ103320N-I</v>
          </cell>
          <cell r="L471">
            <v>4070</v>
          </cell>
        </row>
        <row r="472">
          <cell r="G472" t="str">
            <v>PMVM101EZ103330N-I</v>
          </cell>
          <cell r="L472">
            <v>3597</v>
          </cell>
        </row>
        <row r="473">
          <cell r="G473" t="str">
            <v>PMVM101EZ103340N-I</v>
          </cell>
          <cell r="L473">
            <v>1637</v>
          </cell>
        </row>
        <row r="474">
          <cell r="G474" t="str">
            <v>PMVM101EZ103350N-I</v>
          </cell>
          <cell r="L474">
            <v>2038</v>
          </cell>
        </row>
        <row r="475">
          <cell r="G475" t="str">
            <v>PMVM101BZ103470N-I</v>
          </cell>
          <cell r="L475">
            <v>-22554</v>
          </cell>
        </row>
        <row r="476">
          <cell r="G476" t="str">
            <v>PMVM102AZ102090N-I</v>
          </cell>
          <cell r="L476">
            <v>364</v>
          </cell>
        </row>
        <row r="477">
          <cell r="G477" t="str">
            <v>PMVM101BZ102200N-I</v>
          </cell>
          <cell r="L477">
            <v>1771</v>
          </cell>
        </row>
        <row r="478">
          <cell r="G478" t="str">
            <v>PMVM101BZ102850N-I</v>
          </cell>
          <cell r="L478">
            <v>1444</v>
          </cell>
        </row>
        <row r="479">
          <cell r="G479" t="str">
            <v>PMVM102AZ102100N-I</v>
          </cell>
          <cell r="L479">
            <v>1622</v>
          </cell>
        </row>
        <row r="480">
          <cell r="G480" t="str">
            <v>PMVM1401BAA35150-I</v>
          </cell>
          <cell r="L480">
            <v>3000</v>
          </cell>
        </row>
        <row r="481">
          <cell r="G481" t="str">
            <v>PMVM1401BAA35140-I</v>
          </cell>
          <cell r="L481">
            <v>3000</v>
          </cell>
        </row>
        <row r="482">
          <cell r="G482" t="str">
            <v>PMVM2302AZ100430-I</v>
          </cell>
          <cell r="L482">
            <v>6288</v>
          </cell>
        </row>
        <row r="483">
          <cell r="G483" t="str">
            <v>PMVM2302AZ100440-I</v>
          </cell>
          <cell r="L483">
            <v>12832</v>
          </cell>
        </row>
        <row r="484">
          <cell r="G484" t="str">
            <v>PMVM0101BZ104620-I</v>
          </cell>
          <cell r="L484">
            <v>7566</v>
          </cell>
        </row>
        <row r="485">
          <cell r="G485" t="str">
            <v>PMVM0101EZ105810-I</v>
          </cell>
          <cell r="L485">
            <v>300</v>
          </cell>
        </row>
        <row r="486">
          <cell r="G486" t="str">
            <v>PMVM0101EZ105820-I</v>
          </cell>
          <cell r="L486">
            <v>300</v>
          </cell>
        </row>
        <row r="487">
          <cell r="G487" t="str">
            <v>PMVM102AZ101490N-I</v>
          </cell>
          <cell r="L487">
            <v>2151</v>
          </cell>
        </row>
        <row r="488">
          <cell r="G488" t="str">
            <v>PMVM102AZ101500N-I</v>
          </cell>
          <cell r="L488">
            <v>1722</v>
          </cell>
        </row>
        <row r="489">
          <cell r="G489" t="str">
            <v>PMVM1801FZ100040-I</v>
          </cell>
          <cell r="L489">
            <v>1997</v>
          </cell>
        </row>
        <row r="490">
          <cell r="G490" t="str">
            <v>PMVM1401BAA35950-I</v>
          </cell>
          <cell r="L490">
            <v>2325</v>
          </cell>
        </row>
        <row r="491">
          <cell r="G491" t="str">
            <v>PMVM0103AC100560-I</v>
          </cell>
          <cell r="L491">
            <v>-38612</v>
          </cell>
        </row>
        <row r="492">
          <cell r="G492" t="str">
            <v>PTML284565708236-I</v>
          </cell>
          <cell r="L492">
            <v>0</v>
          </cell>
        </row>
        <row r="493">
          <cell r="G493" t="str">
            <v>PTML265188508208-I</v>
          </cell>
          <cell r="L493">
            <v>805</v>
          </cell>
        </row>
        <row r="494">
          <cell r="G494" t="str">
            <v>PTML284565108285-I</v>
          </cell>
          <cell r="L494">
            <v>1300</v>
          </cell>
        </row>
        <row r="495">
          <cell r="G495" t="str">
            <v>PTML284588708236-I</v>
          </cell>
          <cell r="L495">
            <v>0</v>
          </cell>
        </row>
        <row r="496">
          <cell r="G496" t="str">
            <v>PMVM0101BAZ1640N-I</v>
          </cell>
          <cell r="L496">
            <v>3325</v>
          </cell>
        </row>
        <row r="497">
          <cell r="G497" t="str">
            <v>PMNA7101BAL00010-I</v>
          </cell>
          <cell r="L497">
            <v>0</v>
          </cell>
        </row>
        <row r="498">
          <cell r="G498" t="str">
            <v>PMVM2302AAN01740-I</v>
          </cell>
          <cell r="L498">
            <v>1804</v>
          </cell>
        </row>
        <row r="499">
          <cell r="G499" t="str">
            <v>PMVM2302AAN01670-I</v>
          </cell>
          <cell r="L499">
            <v>1804</v>
          </cell>
        </row>
        <row r="500">
          <cell r="G500" t="str">
            <v>PMVM2302AAN01730-I</v>
          </cell>
          <cell r="L500">
            <v>1159</v>
          </cell>
        </row>
        <row r="501">
          <cell r="G501" t="str">
            <v>PMVM2302AAN01660-I</v>
          </cell>
          <cell r="L501">
            <v>1159</v>
          </cell>
        </row>
        <row r="502">
          <cell r="G502" t="str">
            <v>PMVM2302AAN01720-I</v>
          </cell>
          <cell r="L502">
            <v>1393</v>
          </cell>
        </row>
        <row r="503">
          <cell r="G503" t="str">
            <v>PMVM2302AAN01650-I</v>
          </cell>
          <cell r="L503">
            <v>1393</v>
          </cell>
        </row>
        <row r="504">
          <cell r="G504" t="str">
            <v>PMVM2302AAN01690-I</v>
          </cell>
          <cell r="L504">
            <v>800</v>
          </cell>
        </row>
        <row r="505">
          <cell r="G505" t="str">
            <v>PMVM2302AAN01620-I</v>
          </cell>
          <cell r="L505">
            <v>800</v>
          </cell>
        </row>
        <row r="506">
          <cell r="G506" t="str">
            <v>PMVM2302AAN01680-I</v>
          </cell>
          <cell r="L506">
            <v>373</v>
          </cell>
        </row>
        <row r="507">
          <cell r="G507" t="str">
            <v>PMVM2302AAN01610-I</v>
          </cell>
          <cell r="L507">
            <v>373</v>
          </cell>
        </row>
        <row r="508">
          <cell r="G508" t="str">
            <v>PMVM2302BS200750-I</v>
          </cell>
          <cell r="L508">
            <v>148</v>
          </cell>
        </row>
        <row r="509">
          <cell r="G509" t="str">
            <v>PMVM2302BS200740-I</v>
          </cell>
          <cell r="L509">
            <v>130</v>
          </cell>
        </row>
        <row r="510">
          <cell r="G510" t="str">
            <v>PMVM2302BS200790-I</v>
          </cell>
          <cell r="L510">
            <v>1337</v>
          </cell>
        </row>
        <row r="511">
          <cell r="G511" t="str">
            <v>PMVM2302BS200760-I</v>
          </cell>
          <cell r="L511">
            <v>1060</v>
          </cell>
        </row>
        <row r="512">
          <cell r="G512" t="str">
            <v>PTML284565103336-I</v>
          </cell>
          <cell r="L512">
            <v>915</v>
          </cell>
        </row>
        <row r="513">
          <cell r="G513" t="str">
            <v>PTML284565103330-I</v>
          </cell>
          <cell r="L513">
            <v>1121</v>
          </cell>
        </row>
        <row r="514">
          <cell r="G514" t="str">
            <v>PTML284565108292-I</v>
          </cell>
          <cell r="L514">
            <v>964</v>
          </cell>
        </row>
        <row r="515">
          <cell r="G515" t="str">
            <v>PTML284565103344-I</v>
          </cell>
          <cell r="L515">
            <v>6622</v>
          </cell>
        </row>
        <row r="516">
          <cell r="G516" t="str">
            <v>PTML284565103342-I</v>
          </cell>
          <cell r="L516">
            <v>0</v>
          </cell>
        </row>
        <row r="517">
          <cell r="G517" t="str">
            <v>PPVP6A002686-I</v>
          </cell>
          <cell r="L517">
            <v>621</v>
          </cell>
        </row>
        <row r="518">
          <cell r="G518" t="str">
            <v>PPVP6A002660-I</v>
          </cell>
          <cell r="L518">
            <v>207</v>
          </cell>
        </row>
        <row r="519">
          <cell r="G519" t="str">
            <v>PPVP6A002673-I</v>
          </cell>
          <cell r="L519">
            <v>207</v>
          </cell>
        </row>
        <row r="520">
          <cell r="G520" t="str">
            <v>PPVP6A002676-I</v>
          </cell>
          <cell r="L520">
            <v>207</v>
          </cell>
        </row>
        <row r="521">
          <cell r="G521" t="str">
            <v>PPVP6A002082-I</v>
          </cell>
          <cell r="L521">
            <v>282</v>
          </cell>
        </row>
        <row r="522">
          <cell r="G522" t="str">
            <v>PPVP6A002674-I</v>
          </cell>
          <cell r="L522">
            <v>294</v>
          </cell>
        </row>
        <row r="523">
          <cell r="G523" t="str">
            <v>PPVP6A002675-I</v>
          </cell>
          <cell r="L523">
            <v>298</v>
          </cell>
        </row>
        <row r="524">
          <cell r="G524" t="str">
            <v>PPVP6A002638-I</v>
          </cell>
          <cell r="L524">
            <v>414</v>
          </cell>
        </row>
        <row r="525">
          <cell r="G525" t="str">
            <v>PMAM0101BW605780-I</v>
          </cell>
          <cell r="L525">
            <v>2457</v>
          </cell>
        </row>
        <row r="526">
          <cell r="G526" t="str">
            <v>PMAM0101BW605790-I</v>
          </cell>
          <cell r="L526">
            <v>4401</v>
          </cell>
        </row>
        <row r="527">
          <cell r="G527" t="str">
            <v>PMAM0101BW605800-I</v>
          </cell>
          <cell r="L527">
            <v>1543</v>
          </cell>
        </row>
        <row r="528">
          <cell r="G528" t="str">
            <v>PMAM0101BW605810-I</v>
          </cell>
          <cell r="L528">
            <v>1589</v>
          </cell>
        </row>
        <row r="529">
          <cell r="G529" t="str">
            <v>PTML543861608205-I</v>
          </cell>
          <cell r="L529">
            <v>822</v>
          </cell>
        </row>
        <row r="530">
          <cell r="G530" t="str">
            <v>PTML543861608206-I</v>
          </cell>
          <cell r="L530">
            <v>2129</v>
          </cell>
        </row>
        <row r="531">
          <cell r="G531" t="str">
            <v>PTML543863208246-I</v>
          </cell>
          <cell r="L531">
            <v>-2106</v>
          </cell>
        </row>
        <row r="532">
          <cell r="G532" t="str">
            <v>PTML543863218221-I</v>
          </cell>
          <cell r="L532">
            <v>-3781</v>
          </cell>
        </row>
        <row r="533">
          <cell r="G533" t="str">
            <v>PTML543863218217-I</v>
          </cell>
          <cell r="L533">
            <v>-4147</v>
          </cell>
        </row>
        <row r="534">
          <cell r="G534" t="str">
            <v>PTML543863218218-I</v>
          </cell>
          <cell r="L534">
            <v>-4087</v>
          </cell>
        </row>
        <row r="535">
          <cell r="G535" t="str">
            <v>PTML543863218207-I</v>
          </cell>
          <cell r="L535">
            <v>-1013</v>
          </cell>
        </row>
        <row r="536">
          <cell r="G536" t="str">
            <v>PTML543863218208-I</v>
          </cell>
          <cell r="L536">
            <v>-1130</v>
          </cell>
        </row>
        <row r="537">
          <cell r="G537" t="str">
            <v>PTML543863218219-I</v>
          </cell>
          <cell r="L537">
            <v>-2421</v>
          </cell>
        </row>
        <row r="538">
          <cell r="G538" t="str">
            <v>PTML543863218220-I</v>
          </cell>
          <cell r="L538">
            <v>-4087</v>
          </cell>
        </row>
        <row r="539">
          <cell r="G539" t="str">
            <v>PTML547261808202-I</v>
          </cell>
          <cell r="L539">
            <v>4197</v>
          </cell>
        </row>
        <row r="540">
          <cell r="G540" t="str">
            <v>PTML547261808203-I</v>
          </cell>
          <cell r="L540">
            <v>3317</v>
          </cell>
        </row>
        <row r="541">
          <cell r="G541" t="str">
            <v>PTML542261103301-I</v>
          </cell>
          <cell r="L541">
            <v>1763</v>
          </cell>
        </row>
        <row r="542">
          <cell r="G542" t="str">
            <v>PTML542261103302-I</v>
          </cell>
          <cell r="L542">
            <v>1984</v>
          </cell>
        </row>
        <row r="543">
          <cell r="G543" t="str">
            <v>PTML544261108237-I</v>
          </cell>
          <cell r="L543">
            <v>5360</v>
          </cell>
        </row>
        <row r="544">
          <cell r="G544" t="str">
            <v>PTML547161808238-I</v>
          </cell>
          <cell r="L544">
            <v>899</v>
          </cell>
        </row>
        <row r="545">
          <cell r="G545" t="str">
            <v>PTML547161808213-I</v>
          </cell>
          <cell r="L545">
            <v>0</v>
          </cell>
        </row>
        <row r="546">
          <cell r="G546" t="str">
            <v>PTML547161808214-I</v>
          </cell>
          <cell r="L546">
            <v>-1665</v>
          </cell>
        </row>
        <row r="547">
          <cell r="G547" t="str">
            <v>PTML547161808215-I</v>
          </cell>
          <cell r="L547">
            <v>-956</v>
          </cell>
        </row>
        <row r="548">
          <cell r="G548" t="str">
            <v>PTML543861108236-I</v>
          </cell>
          <cell r="L548">
            <v>2841</v>
          </cell>
        </row>
        <row r="549">
          <cell r="G549" t="str">
            <v>PTML543861108237-I</v>
          </cell>
          <cell r="L549">
            <v>2451</v>
          </cell>
        </row>
        <row r="550">
          <cell r="G550" t="str">
            <v>PTML543861108238-I</v>
          </cell>
          <cell r="L550">
            <v>1500</v>
          </cell>
        </row>
        <row r="551">
          <cell r="G551" t="str">
            <v>PTML543861108239-I</v>
          </cell>
          <cell r="L551">
            <v>1500</v>
          </cell>
        </row>
        <row r="552">
          <cell r="G552" t="str">
            <v>PTML547161108227-I</v>
          </cell>
          <cell r="L552">
            <v>2014</v>
          </cell>
        </row>
        <row r="553">
          <cell r="G553" t="str">
            <v>PTML547161108228-I</v>
          </cell>
          <cell r="L553">
            <v>530</v>
          </cell>
        </row>
        <row r="554">
          <cell r="G554" t="str">
            <v>PTML547161108229-I</v>
          </cell>
          <cell r="L554">
            <v>-1565</v>
          </cell>
        </row>
        <row r="555">
          <cell r="G555" t="str">
            <v>PTML547161108230-I</v>
          </cell>
          <cell r="L555">
            <v>-1665</v>
          </cell>
        </row>
        <row r="556">
          <cell r="G556" t="str">
            <v>PTML543861108240-I</v>
          </cell>
          <cell r="L556">
            <v>0</v>
          </cell>
        </row>
        <row r="557">
          <cell r="G557" t="str">
            <v>PTML543861108241-I</v>
          </cell>
          <cell r="L557">
            <v>0</v>
          </cell>
        </row>
        <row r="558">
          <cell r="G558" t="str">
            <v>PTML542261208216-I</v>
          </cell>
          <cell r="L558">
            <v>2217</v>
          </cell>
        </row>
        <row r="559">
          <cell r="G559" t="str">
            <v>PTML542261208217-I</v>
          </cell>
          <cell r="L559">
            <v>2366</v>
          </cell>
        </row>
        <row r="560">
          <cell r="G560" t="str">
            <v>PTML543861103305-I</v>
          </cell>
          <cell r="L560">
            <v>-1565</v>
          </cell>
        </row>
        <row r="561">
          <cell r="G561" t="str">
            <v>PTML543861103306-I</v>
          </cell>
          <cell r="L561">
            <v>-1665</v>
          </cell>
        </row>
        <row r="562">
          <cell r="G562" t="str">
            <v>PTML543861103309-I</v>
          </cell>
          <cell r="L562">
            <v>0</v>
          </cell>
        </row>
        <row r="563">
          <cell r="G563" t="str">
            <v>PTML543861103310-I</v>
          </cell>
          <cell r="L563">
            <v>0</v>
          </cell>
        </row>
        <row r="564">
          <cell r="G564" t="str">
            <v>PTML543861108203-I</v>
          </cell>
          <cell r="L564">
            <v>1917</v>
          </cell>
        </row>
        <row r="565">
          <cell r="G565" t="str">
            <v>PTML543861108204-I</v>
          </cell>
          <cell r="L565">
            <v>2139</v>
          </cell>
        </row>
        <row r="566">
          <cell r="G566" t="str">
            <v>PTML543861103301-I</v>
          </cell>
          <cell r="L566">
            <v>-1565</v>
          </cell>
        </row>
        <row r="567">
          <cell r="G567" t="str">
            <v>PTML543861103302-I</v>
          </cell>
          <cell r="L567">
            <v>-1665</v>
          </cell>
        </row>
        <row r="568">
          <cell r="G568" t="str">
            <v>PTML542142803300-I</v>
          </cell>
          <cell r="L568">
            <v>332</v>
          </cell>
        </row>
        <row r="569">
          <cell r="G569" t="str">
            <v>PTML287161308258-I</v>
          </cell>
          <cell r="L569">
            <v>10338</v>
          </cell>
        </row>
        <row r="570">
          <cell r="G570" t="str">
            <v>PTML287461308219-I</v>
          </cell>
          <cell r="L570">
            <v>2770</v>
          </cell>
        </row>
        <row r="571">
          <cell r="G571" t="str">
            <v>PTML267472208208-I</v>
          </cell>
          <cell r="L571">
            <v>830</v>
          </cell>
        </row>
        <row r="572">
          <cell r="L572">
            <v>-400446</v>
          </cell>
        </row>
      </sheetData>
      <sheetData sheetId="16"/>
      <sheetData sheetId="17"/>
      <sheetData sheetId="18"/>
      <sheetData sheetId="19">
        <row r="2">
          <cell r="B2" t="str">
            <v>Model</v>
          </cell>
          <cell r="E2" t="str">
            <v xml:space="preserve">SAP Part Number </v>
          </cell>
        </row>
        <row r="3">
          <cell r="B3" t="str">
            <v>CURVV</v>
          </cell>
          <cell r="E3" t="str">
            <v>PTML543861608205-I</v>
          </cell>
        </row>
        <row r="4">
          <cell r="B4" t="str">
            <v>CURVV</v>
          </cell>
          <cell r="E4" t="str">
            <v>PTML543861608206-I</v>
          </cell>
        </row>
        <row r="5">
          <cell r="B5" t="str">
            <v>CURVV</v>
          </cell>
          <cell r="E5" t="str">
            <v>PTML543863208246-I</v>
          </cell>
        </row>
        <row r="6">
          <cell r="B6" t="str">
            <v>CURVV</v>
          </cell>
          <cell r="E6" t="str">
            <v>PTML543863218221-I</v>
          </cell>
        </row>
        <row r="7">
          <cell r="B7" t="str">
            <v>CURVV</v>
          </cell>
          <cell r="E7" t="str">
            <v>PTML543863218217-I</v>
          </cell>
        </row>
        <row r="8">
          <cell r="B8" t="str">
            <v>CURVV</v>
          </cell>
          <cell r="E8" t="str">
            <v>PTML543863218218-I</v>
          </cell>
        </row>
        <row r="9">
          <cell r="B9" t="str">
            <v>CURVV</v>
          </cell>
          <cell r="E9" t="str">
            <v>PTML543863218207-I</v>
          </cell>
        </row>
        <row r="10">
          <cell r="B10" t="str">
            <v>CURVV</v>
          </cell>
          <cell r="E10" t="str">
            <v>PTML543863218208-I</v>
          </cell>
        </row>
        <row r="11">
          <cell r="B11" t="str">
            <v>CURVV</v>
          </cell>
          <cell r="E11" t="str">
            <v>PTML543863218219-I</v>
          </cell>
        </row>
        <row r="12">
          <cell r="B12" t="str">
            <v>CURVV</v>
          </cell>
          <cell r="E12" t="str">
            <v>PTML543863218220-I</v>
          </cell>
        </row>
        <row r="13">
          <cell r="B13" t="str">
            <v>CURVV</v>
          </cell>
          <cell r="E13" t="str">
            <v>PTML547261808202-I</v>
          </cell>
        </row>
        <row r="14">
          <cell r="B14" t="str">
            <v>CURVV</v>
          </cell>
          <cell r="E14" t="str">
            <v>PTML547261808203-I</v>
          </cell>
        </row>
        <row r="15">
          <cell r="B15" t="str">
            <v>CURVV</v>
          </cell>
          <cell r="E15" t="str">
            <v>PTML542261103301-I</v>
          </cell>
        </row>
        <row r="16">
          <cell r="B16" t="str">
            <v>CURVV</v>
          </cell>
          <cell r="E16" t="str">
            <v>PTML542261103302-I</v>
          </cell>
        </row>
        <row r="17">
          <cell r="B17" t="str">
            <v>CURVV</v>
          </cell>
          <cell r="E17" t="str">
            <v>PTML544261108237-I</v>
          </cell>
        </row>
        <row r="18">
          <cell r="B18" t="str">
            <v>CURVV</v>
          </cell>
          <cell r="E18" t="str">
            <v>PTML544261108237-I</v>
          </cell>
        </row>
        <row r="19">
          <cell r="B19" t="str">
            <v>CURVV</v>
          </cell>
          <cell r="E19" t="str">
            <v>PTML547161808238-I</v>
          </cell>
        </row>
        <row r="20">
          <cell r="B20" t="str">
            <v>CURVV</v>
          </cell>
          <cell r="E20" t="str">
            <v>PTML547161808213-I</v>
          </cell>
        </row>
        <row r="21">
          <cell r="B21" t="str">
            <v>CURVV</v>
          </cell>
          <cell r="E21" t="str">
            <v>PTML547161808214-I</v>
          </cell>
        </row>
        <row r="22">
          <cell r="B22" t="str">
            <v>CURVV</v>
          </cell>
          <cell r="E22" t="str">
            <v>PTML547161808215-I</v>
          </cell>
        </row>
        <row r="23">
          <cell r="B23" t="str">
            <v>CURVV</v>
          </cell>
          <cell r="E23" t="str">
            <v>PTML543861108236-I</v>
          </cell>
        </row>
        <row r="24">
          <cell r="B24" t="str">
            <v>CURVV</v>
          </cell>
          <cell r="E24" t="str">
            <v>PTML543861108237-I</v>
          </cell>
        </row>
        <row r="25">
          <cell r="B25" t="str">
            <v>CURVV</v>
          </cell>
          <cell r="E25" t="str">
            <v>PTML543861108238-I</v>
          </cell>
        </row>
        <row r="26">
          <cell r="B26" t="str">
            <v>CURVV</v>
          </cell>
          <cell r="E26" t="str">
            <v>PTML543861108239-I</v>
          </cell>
        </row>
        <row r="27">
          <cell r="B27" t="str">
            <v>CURVV</v>
          </cell>
          <cell r="E27" t="str">
            <v>PTML547161108227-I</v>
          </cell>
        </row>
        <row r="28">
          <cell r="B28" t="str">
            <v>CURVV</v>
          </cell>
          <cell r="E28" t="str">
            <v>PTML547161108228-I</v>
          </cell>
        </row>
        <row r="29">
          <cell r="B29" t="str">
            <v>CURVV</v>
          </cell>
          <cell r="E29" t="str">
            <v>PTML547161108229-I</v>
          </cell>
        </row>
        <row r="30">
          <cell r="B30" t="str">
            <v>CURVV</v>
          </cell>
          <cell r="E30" t="str">
            <v>PTML547161108230-I</v>
          </cell>
        </row>
        <row r="31">
          <cell r="B31" t="str">
            <v>CURVV</v>
          </cell>
          <cell r="E31" t="str">
            <v>PTML543861108240-I</v>
          </cell>
        </row>
        <row r="32">
          <cell r="B32" t="str">
            <v>CURVV</v>
          </cell>
          <cell r="E32" t="str">
            <v>PTML543861108241-I</v>
          </cell>
        </row>
        <row r="33">
          <cell r="B33" t="str">
            <v>CURVV</v>
          </cell>
          <cell r="E33" t="str">
            <v>PTML542261208216-I</v>
          </cell>
        </row>
        <row r="34">
          <cell r="B34" t="str">
            <v>CURVV</v>
          </cell>
          <cell r="E34" t="str">
            <v>PTML542261208217-I</v>
          </cell>
        </row>
        <row r="35">
          <cell r="B35" t="str">
            <v>CURVV</v>
          </cell>
          <cell r="E35" t="str">
            <v>PTML543861103305-I</v>
          </cell>
        </row>
        <row r="36">
          <cell r="B36" t="str">
            <v>CURVV</v>
          </cell>
          <cell r="E36" t="str">
            <v>PTML543861103306-I</v>
          </cell>
        </row>
        <row r="37">
          <cell r="B37" t="str">
            <v>CURVV</v>
          </cell>
          <cell r="E37" t="str">
            <v>PTML543861103309-I</v>
          </cell>
        </row>
        <row r="38">
          <cell r="B38" t="str">
            <v>CURVV</v>
          </cell>
          <cell r="E38" t="str">
            <v>PTML543861103310-I</v>
          </cell>
        </row>
        <row r="39">
          <cell r="B39" t="str">
            <v>CURVV</v>
          </cell>
          <cell r="E39" t="str">
            <v>PTML543861108203-I</v>
          </cell>
        </row>
        <row r="40">
          <cell r="B40" t="str">
            <v>CURVV</v>
          </cell>
          <cell r="E40" t="str">
            <v>PTML543861108204-I</v>
          </cell>
        </row>
        <row r="41">
          <cell r="B41" t="str">
            <v>CURVV</v>
          </cell>
          <cell r="E41" t="str">
            <v>PTML543861103301-I</v>
          </cell>
        </row>
        <row r="42">
          <cell r="B42" t="str">
            <v>CURVV</v>
          </cell>
          <cell r="E42" t="str">
            <v>PTML543861103302-I</v>
          </cell>
        </row>
        <row r="43">
          <cell r="B43" t="str">
            <v>CURVV</v>
          </cell>
          <cell r="E43" t="str">
            <v>PTML542142803300-I</v>
          </cell>
        </row>
        <row r="44">
          <cell r="B44" t="str">
            <v>CURVV</v>
          </cell>
          <cell r="E44" t="str">
            <v>PTML542142803300-I</v>
          </cell>
        </row>
        <row r="45">
          <cell r="B45" t="str">
            <v>CURVV</v>
          </cell>
          <cell r="E45" t="str">
            <v>PTML287161308258-I</v>
          </cell>
        </row>
        <row r="46">
          <cell r="B46" t="str">
            <v>CURVV</v>
          </cell>
          <cell r="E46" t="str">
            <v>PTML287461308219-I</v>
          </cell>
        </row>
        <row r="52">
          <cell r="B52" t="str">
            <v>Material</v>
          </cell>
          <cell r="E52" t="str">
            <v>Req</v>
          </cell>
        </row>
        <row r="53">
          <cell r="B53" t="str">
            <v>LONG MBR ASSY WITH CROSS MBR RH EV</v>
          </cell>
          <cell r="E53">
            <v>1980</v>
          </cell>
        </row>
        <row r="54">
          <cell r="B54" t="str">
            <v>PTML267899006501-V</v>
          </cell>
          <cell r="E54">
            <v>1980</v>
          </cell>
        </row>
        <row r="55">
          <cell r="B55" t="str">
            <v>PTML270232106501-V</v>
          </cell>
          <cell r="E55">
            <v>7920</v>
          </cell>
        </row>
        <row r="56">
          <cell r="B56" t="str">
            <v>PTML270232106502-V</v>
          </cell>
          <cell r="E56">
            <v>1980</v>
          </cell>
        </row>
        <row r="57">
          <cell r="B57" t="str">
            <v>PTML543861108206-I</v>
          </cell>
          <cell r="E57">
            <v>1980</v>
          </cell>
        </row>
        <row r="58">
          <cell r="B58" t="str">
            <v>PTML543861103310-I</v>
          </cell>
          <cell r="E58">
            <v>1980</v>
          </cell>
        </row>
        <row r="59">
          <cell r="B59" t="str">
            <v>PTML543861108204-I</v>
          </cell>
          <cell r="E59">
            <v>1980</v>
          </cell>
        </row>
        <row r="60">
          <cell r="B60" t="str">
            <v>PTML543861103302-I</v>
          </cell>
          <cell r="E60">
            <v>1980</v>
          </cell>
        </row>
        <row r="61">
          <cell r="B61" t="str">
            <v>PTML542261208217-I</v>
          </cell>
          <cell r="E61">
            <v>1980</v>
          </cell>
        </row>
        <row r="62">
          <cell r="B62" t="str">
            <v>PTML542142803300-I</v>
          </cell>
          <cell r="E62">
            <v>1980</v>
          </cell>
        </row>
        <row r="63">
          <cell r="B63" t="str">
            <v>PTML547161108208-I</v>
          </cell>
          <cell r="E63">
            <v>1980</v>
          </cell>
        </row>
        <row r="64">
          <cell r="B64" t="str">
            <v>PTML543861108241-I</v>
          </cell>
          <cell r="E64">
            <v>1980</v>
          </cell>
        </row>
        <row r="65">
          <cell r="B65" t="str">
            <v>PTML547161808215-I</v>
          </cell>
          <cell r="E65">
            <v>1980</v>
          </cell>
        </row>
        <row r="66">
          <cell r="B66" t="str">
            <v>PTML547161108228-I</v>
          </cell>
          <cell r="E66">
            <v>1980</v>
          </cell>
        </row>
        <row r="67">
          <cell r="B67" t="str">
            <v>PTML547161108230-I</v>
          </cell>
          <cell r="E67">
            <v>1980</v>
          </cell>
        </row>
        <row r="68">
          <cell r="B68" t="str">
            <v>PTML547161808231-I</v>
          </cell>
          <cell r="E68">
            <v>1980</v>
          </cell>
        </row>
        <row r="69">
          <cell r="B69" t="str">
            <v>PTML543861108237-I</v>
          </cell>
          <cell r="E69">
            <v>1980</v>
          </cell>
        </row>
        <row r="70">
          <cell r="B70" t="str">
            <v>PTML543861108239-I</v>
          </cell>
          <cell r="E70">
            <v>1980</v>
          </cell>
        </row>
        <row r="71">
          <cell r="B71" t="str">
            <v>PTML547161808214-I</v>
          </cell>
          <cell r="E71">
            <v>1980</v>
          </cell>
        </row>
        <row r="72">
          <cell r="B72" t="str">
            <v>PTML544261108237-I</v>
          </cell>
          <cell r="E72">
            <v>1980</v>
          </cell>
        </row>
        <row r="73">
          <cell r="B73" t="str">
            <v>PTML542261103302-I</v>
          </cell>
          <cell r="E73">
            <v>1980</v>
          </cell>
        </row>
        <row r="74">
          <cell r="B74" t="str">
            <v>PTML547261808203-I</v>
          </cell>
          <cell r="E74">
            <v>1980</v>
          </cell>
        </row>
        <row r="75">
          <cell r="B75" t="str">
            <v>PTML543861103306-I</v>
          </cell>
          <cell r="E75">
            <v>1980</v>
          </cell>
        </row>
        <row r="76">
          <cell r="B76" t="str">
            <v>PMAMSF0309005</v>
          </cell>
          <cell r="E76">
            <v>1980</v>
          </cell>
        </row>
        <row r="77">
          <cell r="B77" t="str">
            <v>PMVMSF1003007-V</v>
          </cell>
          <cell r="E77">
            <v>1980</v>
          </cell>
        </row>
        <row r="78">
          <cell r="B78" t="str">
            <v>PTML56506002490-V</v>
          </cell>
          <cell r="E78">
            <v>178.2</v>
          </cell>
        </row>
        <row r="79">
          <cell r="B79" t="str">
            <v>LONG MBR ASSY WITH CROSS MBR LH -EV</v>
          </cell>
          <cell r="E79">
            <v>1980</v>
          </cell>
        </row>
        <row r="80">
          <cell r="B80" t="str">
            <v>PTML270232106502-V</v>
          </cell>
          <cell r="E80">
            <v>1980</v>
          </cell>
        </row>
        <row r="81">
          <cell r="B81" t="str">
            <v>PTML270232106501-V</v>
          </cell>
          <cell r="E81">
            <v>7920</v>
          </cell>
        </row>
        <row r="82">
          <cell r="B82" t="str">
            <v>PMAMSF0309005</v>
          </cell>
          <cell r="E82">
            <v>1980</v>
          </cell>
        </row>
        <row r="83">
          <cell r="B83" t="str">
            <v>PTML267899006501-V</v>
          </cell>
          <cell r="E83">
            <v>1980</v>
          </cell>
        </row>
        <row r="84">
          <cell r="B84" t="str">
            <v>PTML547161808230-I</v>
          </cell>
          <cell r="E84">
            <v>1980</v>
          </cell>
        </row>
        <row r="85">
          <cell r="B85" t="str">
            <v>PTML547261808202-I</v>
          </cell>
          <cell r="E85">
            <v>1980</v>
          </cell>
        </row>
        <row r="86">
          <cell r="B86" t="str">
            <v>PTML542261103301-I</v>
          </cell>
          <cell r="E86">
            <v>1980</v>
          </cell>
        </row>
        <row r="87">
          <cell r="B87" t="str">
            <v>PTML544261108237-I</v>
          </cell>
          <cell r="E87">
            <v>1980</v>
          </cell>
        </row>
        <row r="88">
          <cell r="B88" t="str">
            <v>PTML547161808213-I</v>
          </cell>
          <cell r="E88">
            <v>1980</v>
          </cell>
        </row>
        <row r="89">
          <cell r="B89" t="str">
            <v>PTML543861108236-I</v>
          </cell>
          <cell r="E89">
            <v>1980</v>
          </cell>
        </row>
        <row r="90">
          <cell r="B90" t="str">
            <v>PTML543861108238-I</v>
          </cell>
          <cell r="E90">
            <v>1980</v>
          </cell>
        </row>
        <row r="91">
          <cell r="B91" t="str">
            <v>PTML547161108227-I</v>
          </cell>
          <cell r="E91">
            <v>1980</v>
          </cell>
        </row>
        <row r="92">
          <cell r="B92" t="str">
            <v>PTML547161108229-I</v>
          </cell>
          <cell r="E92">
            <v>1980</v>
          </cell>
        </row>
        <row r="93">
          <cell r="B93" t="str">
            <v>PTML543861108240-I</v>
          </cell>
          <cell r="E93">
            <v>1980</v>
          </cell>
        </row>
        <row r="94">
          <cell r="B94" t="str">
            <v>PTML547161108207-I</v>
          </cell>
          <cell r="E94">
            <v>1980</v>
          </cell>
        </row>
        <row r="95">
          <cell r="B95" t="str">
            <v>PTML542261208216-I</v>
          </cell>
          <cell r="E95">
            <v>1980</v>
          </cell>
        </row>
        <row r="96">
          <cell r="B96" t="str">
            <v>PTML543861103305-I</v>
          </cell>
          <cell r="E96">
            <v>1980</v>
          </cell>
        </row>
        <row r="97">
          <cell r="B97" t="str">
            <v>PTML543861103309-I</v>
          </cell>
          <cell r="E97">
            <v>1980</v>
          </cell>
        </row>
        <row r="98">
          <cell r="B98" t="str">
            <v>PTML543861108203-I</v>
          </cell>
          <cell r="E98">
            <v>1980</v>
          </cell>
        </row>
        <row r="99">
          <cell r="B99" t="str">
            <v>PTML543861103301-I</v>
          </cell>
          <cell r="E99">
            <v>1980</v>
          </cell>
        </row>
        <row r="100">
          <cell r="B100" t="str">
            <v>PTML543861108205-I</v>
          </cell>
          <cell r="E100">
            <v>1980</v>
          </cell>
        </row>
        <row r="101">
          <cell r="B101" t="str">
            <v>PTML542142803300-I</v>
          </cell>
          <cell r="E101">
            <v>1980</v>
          </cell>
        </row>
        <row r="102">
          <cell r="B102" t="str">
            <v>PMVMSF1003007-V</v>
          </cell>
          <cell r="E102">
            <v>1980</v>
          </cell>
        </row>
        <row r="103">
          <cell r="B103" t="str">
            <v>PTML56506002490-V</v>
          </cell>
          <cell r="E103">
            <v>178.2</v>
          </cell>
        </row>
        <row r="104">
          <cell r="B104" t="str">
            <v>LONG MBR ASSY WITH CROSS MBR RH</v>
          </cell>
          <cell r="E104">
            <v>354</v>
          </cell>
        </row>
        <row r="105">
          <cell r="B105" t="str">
            <v>PTML267899006501-V</v>
          </cell>
          <cell r="E105">
            <v>354</v>
          </cell>
        </row>
        <row r="106">
          <cell r="B106" t="str">
            <v>PTML270232106501-V</v>
          </cell>
          <cell r="E106">
            <v>1416</v>
          </cell>
        </row>
        <row r="107">
          <cell r="B107" t="str">
            <v>PTML270232106502-V</v>
          </cell>
          <cell r="E107">
            <v>354</v>
          </cell>
        </row>
        <row r="108">
          <cell r="B108" t="str">
            <v>PTML543861108206-I</v>
          </cell>
          <cell r="E108">
            <v>354</v>
          </cell>
        </row>
        <row r="109">
          <cell r="B109" t="str">
            <v>PTML543861103310-I</v>
          </cell>
          <cell r="E109">
            <v>354</v>
          </cell>
        </row>
        <row r="110">
          <cell r="B110" t="str">
            <v>PTML543861108204-I</v>
          </cell>
          <cell r="E110">
            <v>354</v>
          </cell>
        </row>
        <row r="111">
          <cell r="B111" t="str">
            <v>PTML543861103302-I</v>
          </cell>
          <cell r="E111">
            <v>354</v>
          </cell>
        </row>
        <row r="112">
          <cell r="B112" t="str">
            <v>PTML542261208217-I</v>
          </cell>
          <cell r="E112">
            <v>354</v>
          </cell>
        </row>
        <row r="113">
          <cell r="B113" t="str">
            <v>PTML542142803300-I</v>
          </cell>
          <cell r="E113">
            <v>354</v>
          </cell>
        </row>
        <row r="114">
          <cell r="B114" t="str">
            <v>PTML547161108208-I</v>
          </cell>
          <cell r="E114">
            <v>354</v>
          </cell>
        </row>
        <row r="115">
          <cell r="B115" t="str">
            <v>PTML543861108241-I</v>
          </cell>
          <cell r="E115">
            <v>354</v>
          </cell>
        </row>
        <row r="116">
          <cell r="B116" t="str">
            <v>PTML547161808215-I</v>
          </cell>
          <cell r="E116">
            <v>354</v>
          </cell>
        </row>
        <row r="117">
          <cell r="B117" t="str">
            <v>PTML547161108228-I</v>
          </cell>
          <cell r="E117">
            <v>354</v>
          </cell>
        </row>
        <row r="118">
          <cell r="B118" t="str">
            <v>PTML547161108230-I</v>
          </cell>
          <cell r="E118">
            <v>354</v>
          </cell>
        </row>
        <row r="119">
          <cell r="B119" t="str">
            <v>PTML547161808231-I</v>
          </cell>
          <cell r="E119">
            <v>354</v>
          </cell>
        </row>
        <row r="120">
          <cell r="B120" t="str">
            <v>PTML543861108237-I</v>
          </cell>
          <cell r="E120">
            <v>354</v>
          </cell>
        </row>
        <row r="121">
          <cell r="B121" t="str">
            <v>PTML543861108239-I</v>
          </cell>
          <cell r="E121">
            <v>354</v>
          </cell>
        </row>
        <row r="122">
          <cell r="B122" t="str">
            <v>PTML547161808214-I</v>
          </cell>
          <cell r="E122">
            <v>354</v>
          </cell>
        </row>
        <row r="123">
          <cell r="B123" t="str">
            <v>PTML287461308219-I</v>
          </cell>
          <cell r="E123">
            <v>354</v>
          </cell>
        </row>
        <row r="124">
          <cell r="B124" t="str">
            <v>PTML544261108237-I</v>
          </cell>
          <cell r="E124">
            <v>354</v>
          </cell>
        </row>
        <row r="125">
          <cell r="B125" t="str">
            <v>PTML542261103302-I</v>
          </cell>
          <cell r="E125">
            <v>354</v>
          </cell>
        </row>
        <row r="126">
          <cell r="B126" t="str">
            <v>PTML547261808203-I</v>
          </cell>
          <cell r="E126">
            <v>354</v>
          </cell>
        </row>
        <row r="127">
          <cell r="B127" t="str">
            <v>PTML543861103306-I</v>
          </cell>
          <cell r="E127">
            <v>354</v>
          </cell>
        </row>
        <row r="128">
          <cell r="B128" t="str">
            <v>PTML287161308258-I</v>
          </cell>
          <cell r="E128">
            <v>354</v>
          </cell>
        </row>
        <row r="129">
          <cell r="B129" t="str">
            <v>PMAMSF0309005</v>
          </cell>
          <cell r="E129">
            <v>708</v>
          </cell>
        </row>
        <row r="130">
          <cell r="B130" t="str">
            <v>PTML547161808235-V</v>
          </cell>
          <cell r="E130">
            <v>354</v>
          </cell>
        </row>
        <row r="131">
          <cell r="B131" t="str">
            <v>PTML287161309904-V</v>
          </cell>
          <cell r="E131">
            <v>354</v>
          </cell>
        </row>
        <row r="132">
          <cell r="B132" t="str">
            <v>PTML547161808225-V</v>
          </cell>
          <cell r="E132">
            <v>354</v>
          </cell>
        </row>
        <row r="133">
          <cell r="B133" t="str">
            <v>PMVMSF1003007-V</v>
          </cell>
          <cell r="E133">
            <v>354</v>
          </cell>
        </row>
        <row r="134">
          <cell r="B134" t="str">
            <v>PTML56506002490-V</v>
          </cell>
          <cell r="E134">
            <v>31.86</v>
          </cell>
        </row>
        <row r="135">
          <cell r="B135" t="str">
            <v>LONG MBR ASSY WITH CROSS MBR LH</v>
          </cell>
          <cell r="E135">
            <v>354</v>
          </cell>
        </row>
        <row r="136">
          <cell r="B136" t="str">
            <v>PTML270232106502-V</v>
          </cell>
          <cell r="E136">
            <v>354</v>
          </cell>
        </row>
        <row r="137">
          <cell r="B137" t="str">
            <v>PTML270232106501-V</v>
          </cell>
          <cell r="E137">
            <v>1416</v>
          </cell>
        </row>
        <row r="138">
          <cell r="B138" t="str">
            <v>PMAMSF0309005</v>
          </cell>
          <cell r="E138">
            <v>708</v>
          </cell>
        </row>
        <row r="139">
          <cell r="B139" t="str">
            <v>PTML267899006501-V</v>
          </cell>
          <cell r="E139">
            <v>354</v>
          </cell>
        </row>
        <row r="140">
          <cell r="B140" t="str">
            <v>PTML547161808230-I</v>
          </cell>
          <cell r="E140">
            <v>354</v>
          </cell>
        </row>
        <row r="141">
          <cell r="B141" t="str">
            <v>PTML547261808202-I</v>
          </cell>
          <cell r="E141">
            <v>354</v>
          </cell>
        </row>
        <row r="142">
          <cell r="B142" t="str">
            <v>PTML542261103301-I</v>
          </cell>
          <cell r="E142">
            <v>354</v>
          </cell>
        </row>
        <row r="143">
          <cell r="B143" t="str">
            <v>PTML544261108237-I</v>
          </cell>
          <cell r="E143">
            <v>354</v>
          </cell>
        </row>
        <row r="144">
          <cell r="B144" t="str">
            <v>PTML547161808238-I</v>
          </cell>
          <cell r="E144">
            <v>354</v>
          </cell>
        </row>
        <row r="145">
          <cell r="B145" t="str">
            <v>PTML547161808213-I</v>
          </cell>
          <cell r="E145">
            <v>354</v>
          </cell>
        </row>
        <row r="146">
          <cell r="B146" t="str">
            <v>PTML543861108236-I</v>
          </cell>
          <cell r="E146">
            <v>354</v>
          </cell>
        </row>
        <row r="147">
          <cell r="B147" t="str">
            <v>PTML543861108238-I</v>
          </cell>
          <cell r="E147">
            <v>354</v>
          </cell>
        </row>
        <row r="148">
          <cell r="B148" t="str">
            <v>PTML547161108227-I</v>
          </cell>
          <cell r="E148">
            <v>354</v>
          </cell>
        </row>
        <row r="149">
          <cell r="B149" t="str">
            <v>PTML547161108229-I</v>
          </cell>
          <cell r="E149">
            <v>354</v>
          </cell>
        </row>
        <row r="150">
          <cell r="B150" t="str">
            <v>PTML543861108240-I</v>
          </cell>
          <cell r="E150">
            <v>354</v>
          </cell>
        </row>
        <row r="151">
          <cell r="B151" t="str">
            <v>PTML547161108207-I</v>
          </cell>
          <cell r="E151">
            <v>354</v>
          </cell>
        </row>
        <row r="152">
          <cell r="B152" t="str">
            <v>PTML542261208216-I</v>
          </cell>
          <cell r="E152">
            <v>354</v>
          </cell>
        </row>
        <row r="153">
          <cell r="B153" t="str">
            <v>PTML543861103305-I</v>
          </cell>
          <cell r="E153">
            <v>354</v>
          </cell>
        </row>
        <row r="154">
          <cell r="B154" t="str">
            <v>PTML543861103309-I</v>
          </cell>
          <cell r="E154">
            <v>354</v>
          </cell>
        </row>
        <row r="155">
          <cell r="B155" t="str">
            <v>PTML543861108203-I</v>
          </cell>
          <cell r="E155">
            <v>354</v>
          </cell>
        </row>
        <row r="156">
          <cell r="B156" t="str">
            <v>PTML543861103301-I</v>
          </cell>
          <cell r="E156">
            <v>354</v>
          </cell>
        </row>
        <row r="157">
          <cell r="B157" t="str">
            <v>PTML543861108205-I</v>
          </cell>
          <cell r="E157">
            <v>354</v>
          </cell>
        </row>
        <row r="158">
          <cell r="B158" t="str">
            <v>PTML542142803300-I</v>
          </cell>
          <cell r="E158">
            <v>354</v>
          </cell>
        </row>
        <row r="159">
          <cell r="B159" t="str">
            <v>PMVMSF1003007-V</v>
          </cell>
          <cell r="E159">
            <v>354</v>
          </cell>
        </row>
        <row r="160">
          <cell r="B160" t="str">
            <v>PTML56506002490-V</v>
          </cell>
          <cell r="E160">
            <v>31.86</v>
          </cell>
        </row>
        <row r="161">
          <cell r="B161" t="str">
            <v>ASSY REINF A PILLER LH</v>
          </cell>
          <cell r="E161">
            <v>2334</v>
          </cell>
        </row>
        <row r="162">
          <cell r="B162" t="str">
            <v>PTML543861608205-I</v>
          </cell>
          <cell r="E162">
            <v>2334</v>
          </cell>
        </row>
        <row r="163">
          <cell r="B163" t="str">
            <v>PTML543863208246-I</v>
          </cell>
          <cell r="E163">
            <v>2334</v>
          </cell>
        </row>
        <row r="164">
          <cell r="B164" t="str">
            <v>PTML543863218217-I</v>
          </cell>
          <cell r="E164">
            <v>2334</v>
          </cell>
        </row>
        <row r="165">
          <cell r="B165" t="str">
            <v>PTML543863208235-I</v>
          </cell>
          <cell r="E165">
            <v>2334</v>
          </cell>
        </row>
        <row r="166">
          <cell r="B166" t="str">
            <v>PMAMSF0309005</v>
          </cell>
          <cell r="E166">
            <v>2334</v>
          </cell>
        </row>
        <row r="167">
          <cell r="B167" t="str">
            <v>PTML546463208213-I</v>
          </cell>
          <cell r="E167">
            <v>2334</v>
          </cell>
        </row>
        <row r="168">
          <cell r="B168" t="str">
            <v>PM8HEXWELDNUT</v>
          </cell>
          <cell r="E168">
            <v>2334</v>
          </cell>
        </row>
        <row r="169">
          <cell r="B169" t="str">
            <v>PTML543863218207-I</v>
          </cell>
          <cell r="E169">
            <v>2334</v>
          </cell>
        </row>
        <row r="170">
          <cell r="B170" t="str">
            <v>PTML269963606503-V</v>
          </cell>
          <cell r="E170">
            <v>9336</v>
          </cell>
        </row>
        <row r="171">
          <cell r="B171" t="str">
            <v>PTML543863200212-V</v>
          </cell>
          <cell r="E171">
            <v>2334</v>
          </cell>
        </row>
        <row r="172">
          <cell r="B172" t="str">
            <v>PTML541260997706-V</v>
          </cell>
          <cell r="E172">
            <v>2334</v>
          </cell>
        </row>
        <row r="173">
          <cell r="B173" t="str">
            <v>PTML543868206321-V</v>
          </cell>
          <cell r="E173">
            <v>2334</v>
          </cell>
        </row>
        <row r="174">
          <cell r="B174" t="str">
            <v>PTML56506005014-V</v>
          </cell>
          <cell r="E174">
            <v>149.376</v>
          </cell>
        </row>
        <row r="175">
          <cell r="B175" t="str">
            <v>ASSY REINF A PILLER RH</v>
          </cell>
          <cell r="E175">
            <v>2334</v>
          </cell>
        </row>
        <row r="176">
          <cell r="B176" t="str">
            <v>PTML546463208214-I</v>
          </cell>
          <cell r="E176">
            <v>2334</v>
          </cell>
        </row>
        <row r="177">
          <cell r="B177" t="str">
            <v>PM8HEXWELDNUT</v>
          </cell>
          <cell r="E177">
            <v>2334</v>
          </cell>
        </row>
        <row r="178">
          <cell r="B178" t="str">
            <v>PTML543863218219-I</v>
          </cell>
          <cell r="E178">
            <v>2334</v>
          </cell>
        </row>
        <row r="179">
          <cell r="B179" t="str">
            <v>PTML543863218208-I</v>
          </cell>
          <cell r="E179">
            <v>2334</v>
          </cell>
        </row>
        <row r="180">
          <cell r="B180" t="str">
            <v>PTML267899006538-V</v>
          </cell>
          <cell r="E180">
            <v>2334</v>
          </cell>
        </row>
        <row r="181">
          <cell r="B181" t="str">
            <v>PTML543863208236-I</v>
          </cell>
          <cell r="E181">
            <v>2334</v>
          </cell>
        </row>
        <row r="182">
          <cell r="B182" t="str">
            <v>PTML543863218218-I</v>
          </cell>
          <cell r="E182">
            <v>2334</v>
          </cell>
        </row>
        <row r="183">
          <cell r="B183" t="str">
            <v>PTML543861608206-I</v>
          </cell>
          <cell r="E183">
            <v>2334</v>
          </cell>
        </row>
        <row r="184">
          <cell r="B184" t="str">
            <v>PTML543863218220-I</v>
          </cell>
          <cell r="E184">
            <v>2334</v>
          </cell>
        </row>
        <row r="185">
          <cell r="B185" t="str">
            <v>PTML543863218221-I</v>
          </cell>
          <cell r="E185">
            <v>2334</v>
          </cell>
        </row>
        <row r="186">
          <cell r="B186" t="str">
            <v>PTML269963606503-V</v>
          </cell>
          <cell r="E186">
            <v>9336</v>
          </cell>
        </row>
        <row r="187">
          <cell r="B187" t="str">
            <v>PTML541260997706-V</v>
          </cell>
          <cell r="E187">
            <v>2334</v>
          </cell>
        </row>
        <row r="188">
          <cell r="B188" t="str">
            <v>PTML543868206321-V</v>
          </cell>
          <cell r="E188">
            <v>2334</v>
          </cell>
        </row>
        <row r="189">
          <cell r="B189" t="str">
            <v>PTML56506005014-V</v>
          </cell>
          <cell r="E189">
            <v>149.376</v>
          </cell>
        </row>
        <row r="190">
          <cell r="B190" t="str">
            <v>PTML543863200213-V</v>
          </cell>
          <cell r="E190">
            <v>2334</v>
          </cell>
        </row>
        <row r="191">
          <cell r="B191" t="str">
            <v>PMAMSF0309005</v>
          </cell>
          <cell r="E191">
            <v>2334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E RATAN - STMPKNH" id="{936C4654-D597-4460-88EF-5D37131A3A84}" userId="S::MANE.RATAN@cie-india.com::a0418f13-01ef-45d9-848c-9e6fc1d725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78" dT="2023-01-02T08:50:48.92" personId="{936C4654-D597-4460-88EF-5D37131A3A84}" id="{7F342AA8-C86B-4E63-9071-9B03E756F678}">
    <text>SB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772A-38B4-4206-B1F2-3AF7B860C333}">
  <dimension ref="A1:AR608"/>
  <sheetViews>
    <sheetView tabSelected="1" workbookViewId="0">
      <selection sqref="A1:XFD1048576"/>
    </sheetView>
  </sheetViews>
  <sheetFormatPr defaultColWidth="8" defaultRowHeight="14.4" x14ac:dyDescent="0.3"/>
  <cols>
    <col min="1" max="1" width="4.44140625" style="1" bestFit="1" customWidth="1"/>
    <col min="2" max="2" width="10.77734375" style="1" bestFit="1" customWidth="1"/>
    <col min="3" max="3" width="19.88671875" style="1" bestFit="1" customWidth="1"/>
    <col min="4" max="4" width="19.21875" style="1" bestFit="1" customWidth="1"/>
    <col min="5" max="5" width="38.44140625" style="1" customWidth="1"/>
    <col min="6" max="6" width="7.109375" style="2" customWidth="1"/>
    <col min="7" max="7" width="6.5546875" style="2" customWidth="1"/>
    <col min="8" max="8" width="6.88671875" style="2" bestFit="1" customWidth="1"/>
    <col min="9" max="9" width="8.6640625" style="2" customWidth="1"/>
    <col min="10" max="10" width="6.88671875" style="2" bestFit="1" customWidth="1"/>
    <col min="11" max="11" width="8.109375" style="2" customWidth="1"/>
    <col min="12" max="12" width="7.77734375" style="2" bestFit="1" customWidth="1"/>
    <col min="13" max="13" width="7.6640625" style="2" customWidth="1"/>
    <col min="14" max="14" width="7.109375" style="2" customWidth="1"/>
    <col min="15" max="15" width="7.6640625" style="2" customWidth="1"/>
    <col min="16" max="16" width="7.109375" style="2" customWidth="1"/>
    <col min="17" max="17" width="7.6640625" style="2" customWidth="1"/>
    <col min="18" max="18" width="7.109375" style="2" customWidth="1"/>
    <col min="19" max="19" width="7.6640625" style="2" customWidth="1"/>
    <col min="20" max="20" width="7.109375" style="2" customWidth="1"/>
    <col min="21" max="21" width="7.6640625" style="2" customWidth="1"/>
    <col min="22" max="22" width="9.6640625" style="2" customWidth="1"/>
    <col min="23" max="23" width="6.88671875" style="2" customWidth="1"/>
    <col min="24" max="24" width="7.44140625" style="2" customWidth="1"/>
    <col min="25" max="25" width="7.33203125" style="1" customWidth="1"/>
    <col min="26" max="26" width="9" style="1" customWidth="1"/>
    <col min="27" max="27" width="4.5546875" style="1" customWidth="1"/>
    <col min="28" max="28" width="7.109375" style="1" customWidth="1"/>
    <col min="29" max="29" width="11.77734375" style="1" customWidth="1"/>
    <col min="30" max="30" width="9.44140625" style="1" bestFit="1" customWidth="1"/>
    <col min="31" max="31" width="50.5546875" style="1" bestFit="1" customWidth="1"/>
    <col min="32" max="32" width="19.88671875" style="1" customWidth="1"/>
    <col min="33" max="35" width="8" style="2"/>
    <col min="36" max="16384" width="8" style="1"/>
  </cols>
  <sheetData>
    <row r="1" spans="1:39" x14ac:dyDescent="0.3">
      <c r="F1" s="2">
        <f>SUBTOTAL(9,F3:F532,F553:F594)</f>
        <v>1502462</v>
      </c>
      <c r="H1" s="2">
        <v>16</v>
      </c>
      <c r="I1" s="2">
        <f t="shared" ref="I1:V1" si="0">SUBTOTAL(9,I3:I532,I553:I594)</f>
        <v>478406</v>
      </c>
      <c r="J1" s="2">
        <f t="shared" si="0"/>
        <v>221.5</v>
      </c>
      <c r="K1" s="2">
        <f>SUBTOTAL(9,K3:K532,K553:K594)</f>
        <v>469984</v>
      </c>
      <c r="L1" s="2">
        <f t="shared" si="0"/>
        <v>186.5</v>
      </c>
      <c r="M1" s="2">
        <f t="shared" si="0"/>
        <v>521545</v>
      </c>
      <c r="N1" s="2">
        <f t="shared" si="0"/>
        <v>205</v>
      </c>
      <c r="O1" s="2">
        <f t="shared" si="0"/>
        <v>571230</v>
      </c>
      <c r="P1" s="2">
        <f t="shared" si="0"/>
        <v>230.5</v>
      </c>
      <c r="Q1" s="2">
        <f t="shared" si="0"/>
        <v>909069</v>
      </c>
      <c r="R1" s="2">
        <f t="shared" si="0"/>
        <v>93.5</v>
      </c>
      <c r="S1" s="2">
        <f t="shared" si="0"/>
        <v>618881</v>
      </c>
      <c r="T1" s="2">
        <f t="shared" si="0"/>
        <v>186</v>
      </c>
      <c r="U1" s="2">
        <f t="shared" si="0"/>
        <v>483061</v>
      </c>
      <c r="V1" s="2">
        <f t="shared" si="0"/>
        <v>4028176</v>
      </c>
    </row>
    <row r="2" spans="1:39" s="11" customFormat="1" ht="41.2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  <c r="I2" s="5" t="s">
        <v>7</v>
      </c>
      <c r="J2" s="5"/>
      <c r="K2" s="5" t="s">
        <v>8</v>
      </c>
      <c r="L2" s="5"/>
      <c r="M2" s="5" t="s">
        <v>9</v>
      </c>
      <c r="N2" s="6"/>
      <c r="O2" s="6" t="s">
        <v>10</v>
      </c>
      <c r="P2" s="6"/>
      <c r="Q2" s="6" t="s">
        <v>11</v>
      </c>
      <c r="R2" s="6"/>
      <c r="S2" s="6" t="s">
        <v>12</v>
      </c>
      <c r="T2" s="6"/>
      <c r="U2" s="6" t="s">
        <v>13</v>
      </c>
      <c r="V2" s="4" t="s">
        <v>14</v>
      </c>
      <c r="W2" s="4" t="s">
        <v>15</v>
      </c>
      <c r="X2" s="4" t="s">
        <v>16</v>
      </c>
      <c r="Y2" s="7" t="s">
        <v>17</v>
      </c>
      <c r="Z2" s="8" t="s">
        <v>18</v>
      </c>
      <c r="AA2" s="9" t="s">
        <v>19</v>
      </c>
      <c r="AB2" s="8" t="s">
        <v>20</v>
      </c>
      <c r="AC2" s="9" t="s">
        <v>21</v>
      </c>
      <c r="AD2" s="10" t="s">
        <v>22</v>
      </c>
      <c r="AE2" s="11" t="s">
        <v>23</v>
      </c>
      <c r="AF2" s="11" t="s">
        <v>24</v>
      </c>
      <c r="AG2" s="4" t="s">
        <v>8</v>
      </c>
      <c r="AH2" s="4" t="s">
        <v>9</v>
      </c>
      <c r="AI2" s="4" t="s">
        <v>10</v>
      </c>
      <c r="AJ2" s="6" t="s">
        <v>11</v>
      </c>
      <c r="AK2" s="6" t="s">
        <v>12</v>
      </c>
      <c r="AL2" s="6" t="s">
        <v>13</v>
      </c>
      <c r="AM2" s="4" t="s">
        <v>25</v>
      </c>
    </row>
    <row r="3" spans="1:39" x14ac:dyDescent="0.3">
      <c r="A3" s="12">
        <v>1</v>
      </c>
      <c r="B3" s="12" t="s">
        <v>26</v>
      </c>
      <c r="C3" s="13" t="s">
        <v>27</v>
      </c>
      <c r="D3" s="13" t="s">
        <v>28</v>
      </c>
      <c r="E3" s="14" t="s">
        <v>29</v>
      </c>
      <c r="F3" s="15">
        <f>AB3</f>
        <v>0</v>
      </c>
      <c r="G3" s="16">
        <v>3</v>
      </c>
      <c r="H3" s="16"/>
      <c r="I3" s="16">
        <f t="shared" ref="I3:I66" si="1">H3*F3</f>
        <v>0</v>
      </c>
      <c r="J3" s="16"/>
      <c r="K3" s="16">
        <f>F3*J3</f>
        <v>0</v>
      </c>
      <c r="L3" s="16">
        <v>1</v>
      </c>
      <c r="M3" s="16">
        <f t="shared" ref="M3:M66" si="2">L3*F3</f>
        <v>0</v>
      </c>
      <c r="N3" s="16">
        <v>2</v>
      </c>
      <c r="O3" s="16">
        <f t="shared" ref="O3:O66" si="3">N3*F3</f>
        <v>0</v>
      </c>
      <c r="P3" s="16"/>
      <c r="Q3" s="16">
        <f t="shared" ref="Q3:Q66" si="4">P3*F3</f>
        <v>0</v>
      </c>
      <c r="R3" s="16"/>
      <c r="S3" s="16">
        <f t="shared" ref="S3:S66" si="5">R3*F3</f>
        <v>0</v>
      </c>
      <c r="T3" s="16">
        <v>2</v>
      </c>
      <c r="U3" s="16">
        <f t="shared" ref="U3:U66" si="6">T3*F3</f>
        <v>0</v>
      </c>
      <c r="V3" s="16">
        <f t="shared" ref="V3:V51" si="7">F3*G3</f>
        <v>0</v>
      </c>
      <c r="W3" s="17" t="s">
        <v>13</v>
      </c>
      <c r="X3" s="17">
        <v>2</v>
      </c>
      <c r="Y3" s="18">
        <v>5.6000000000000001E-2</v>
      </c>
      <c r="Z3" s="1">
        <f t="shared" ref="Z3:Z66" si="8">F3/25</f>
        <v>0</v>
      </c>
      <c r="AA3" s="18"/>
      <c r="AC3" s="18"/>
      <c r="AE3" s="19"/>
      <c r="AF3" s="20">
        <f>SUMIF('[1]G-Chart'!G:G,[1]Capacity!D3,'[1]G-Chart'!L:L)</f>
        <v>0</v>
      </c>
      <c r="AG3" s="2">
        <f t="shared" ref="AG3:AG64" si="9">AF3*J3</f>
        <v>0</v>
      </c>
      <c r="AH3" s="2">
        <f t="shared" ref="AH3:AH66" si="10">AF3*L3</f>
        <v>0</v>
      </c>
      <c r="AI3" s="2">
        <f t="shared" ref="AI3:AI64" si="11">AF3*N3</f>
        <v>0</v>
      </c>
      <c r="AJ3" s="1">
        <f t="shared" ref="AJ3:AJ66" si="12">AF3*P3</f>
        <v>0</v>
      </c>
      <c r="AK3" s="1">
        <f t="shared" ref="AK3:AK66" si="13">AF3*R3</f>
        <v>0</v>
      </c>
      <c r="AL3" s="1">
        <f t="shared" ref="AL3:AL66" si="14">AF3*T3</f>
        <v>0</v>
      </c>
      <c r="AM3" s="1">
        <f>AF3*G3</f>
        <v>0</v>
      </c>
    </row>
    <row r="4" spans="1:39" x14ac:dyDescent="0.3">
      <c r="A4" s="12">
        <v>2</v>
      </c>
      <c r="B4" s="12" t="s">
        <v>26</v>
      </c>
      <c r="C4" s="13" t="s">
        <v>30</v>
      </c>
      <c r="D4" s="13" t="s">
        <v>31</v>
      </c>
      <c r="E4" s="14" t="s">
        <v>32</v>
      </c>
      <c r="F4" s="15">
        <v>0</v>
      </c>
      <c r="G4" s="16">
        <f t="shared" ref="G4:G67" si="15">H4+J4+L4+N4+P4+R4+T4</f>
        <v>2</v>
      </c>
      <c r="H4" s="15"/>
      <c r="I4" s="15">
        <f t="shared" si="1"/>
        <v>0</v>
      </c>
      <c r="J4" s="15"/>
      <c r="K4" s="15">
        <f t="shared" ref="K4:K67" si="16">F4*J4</f>
        <v>0</v>
      </c>
      <c r="L4" s="15"/>
      <c r="M4" s="15">
        <f t="shared" si="2"/>
        <v>0</v>
      </c>
      <c r="N4" s="15"/>
      <c r="O4" s="15">
        <f t="shared" si="3"/>
        <v>0</v>
      </c>
      <c r="P4" s="15"/>
      <c r="Q4" s="15">
        <f t="shared" si="4"/>
        <v>0</v>
      </c>
      <c r="R4" s="15"/>
      <c r="S4" s="15">
        <f t="shared" si="5"/>
        <v>0</v>
      </c>
      <c r="T4" s="15">
        <v>2</v>
      </c>
      <c r="U4" s="15">
        <f t="shared" si="6"/>
        <v>0</v>
      </c>
      <c r="V4" s="15">
        <f t="shared" si="7"/>
        <v>0</v>
      </c>
      <c r="W4" s="17" t="s">
        <v>12</v>
      </c>
      <c r="X4" s="17">
        <v>1</v>
      </c>
      <c r="Y4" s="18">
        <v>5.6000000000000001E-2</v>
      </c>
      <c r="Z4" s="1">
        <f t="shared" si="8"/>
        <v>0</v>
      </c>
      <c r="AA4" s="21"/>
      <c r="AC4" s="21"/>
      <c r="AE4" s="19"/>
      <c r="AF4" s="20">
        <f>SUMIF('[1]G-Chart'!G:G,[1]Capacity!D4,'[1]G-Chart'!L:L)</f>
        <v>0</v>
      </c>
      <c r="AG4" s="2">
        <f t="shared" si="9"/>
        <v>0</v>
      </c>
      <c r="AH4" s="2">
        <f t="shared" si="10"/>
        <v>0</v>
      </c>
      <c r="AI4" s="2">
        <f t="shared" si="11"/>
        <v>0</v>
      </c>
      <c r="AJ4" s="1">
        <f t="shared" si="12"/>
        <v>0</v>
      </c>
      <c r="AK4" s="1">
        <f t="shared" si="13"/>
        <v>0</v>
      </c>
      <c r="AL4" s="1">
        <f t="shared" si="14"/>
        <v>0</v>
      </c>
      <c r="AM4" s="1">
        <f t="shared" ref="AM4:AM67" si="17">AF4*G4</f>
        <v>0</v>
      </c>
    </row>
    <row r="5" spans="1:39" x14ac:dyDescent="0.3">
      <c r="A5" s="12">
        <v>3</v>
      </c>
      <c r="B5" s="12" t="s">
        <v>26</v>
      </c>
      <c r="C5" s="13" t="s">
        <v>33</v>
      </c>
      <c r="D5" s="13" t="s">
        <v>34</v>
      </c>
      <c r="E5" s="14" t="s">
        <v>35</v>
      </c>
      <c r="F5" s="15">
        <v>0</v>
      </c>
      <c r="G5" s="16">
        <f t="shared" si="15"/>
        <v>4</v>
      </c>
      <c r="H5" s="15"/>
      <c r="I5" s="15">
        <f t="shared" si="1"/>
        <v>0</v>
      </c>
      <c r="J5" s="15"/>
      <c r="K5" s="15">
        <f t="shared" si="16"/>
        <v>0</v>
      </c>
      <c r="L5" s="15"/>
      <c r="M5" s="15">
        <f t="shared" si="2"/>
        <v>0</v>
      </c>
      <c r="N5" s="15"/>
      <c r="O5" s="15">
        <f t="shared" si="3"/>
        <v>0</v>
      </c>
      <c r="P5" s="15"/>
      <c r="Q5" s="15">
        <f t="shared" si="4"/>
        <v>0</v>
      </c>
      <c r="R5" s="15"/>
      <c r="S5" s="15">
        <f t="shared" si="5"/>
        <v>0</v>
      </c>
      <c r="T5" s="15">
        <v>4</v>
      </c>
      <c r="U5" s="15">
        <f t="shared" si="6"/>
        <v>0</v>
      </c>
      <c r="V5" s="15">
        <f t="shared" si="7"/>
        <v>0</v>
      </c>
      <c r="W5" s="17" t="s">
        <v>10</v>
      </c>
      <c r="X5" s="17">
        <v>2</v>
      </c>
      <c r="Y5" s="18">
        <v>0.05</v>
      </c>
      <c r="Z5" s="1">
        <f t="shared" si="8"/>
        <v>0</v>
      </c>
      <c r="AA5" s="21"/>
      <c r="AC5" s="21"/>
      <c r="AE5" s="19"/>
      <c r="AF5" s="20">
        <f>SUMIF('[1]G-Chart'!G:G,[1]Capacity!D5,'[1]G-Chart'!L:L)</f>
        <v>553</v>
      </c>
      <c r="AG5" s="2">
        <f t="shared" si="9"/>
        <v>0</v>
      </c>
      <c r="AH5" s="2">
        <f t="shared" si="10"/>
        <v>0</v>
      </c>
      <c r="AI5" s="2">
        <f t="shared" si="11"/>
        <v>0</v>
      </c>
      <c r="AJ5" s="1">
        <f t="shared" si="12"/>
        <v>0</v>
      </c>
      <c r="AK5" s="1">
        <f t="shared" si="13"/>
        <v>0</v>
      </c>
      <c r="AL5" s="1">
        <f t="shared" si="14"/>
        <v>2212</v>
      </c>
      <c r="AM5" s="1">
        <f t="shared" si="17"/>
        <v>2212</v>
      </c>
    </row>
    <row r="6" spans="1:39" x14ac:dyDescent="0.3">
      <c r="A6" s="12">
        <v>4</v>
      </c>
      <c r="B6" s="12" t="s">
        <v>26</v>
      </c>
      <c r="C6" s="13" t="s">
        <v>36</v>
      </c>
      <c r="D6" s="13" t="s">
        <v>37</v>
      </c>
      <c r="E6" s="14" t="s">
        <v>38</v>
      </c>
      <c r="F6" s="15">
        <v>0</v>
      </c>
      <c r="G6" s="16">
        <f t="shared" si="15"/>
        <v>0</v>
      </c>
      <c r="H6" s="15"/>
      <c r="I6" s="15">
        <f t="shared" si="1"/>
        <v>0</v>
      </c>
      <c r="J6" s="15"/>
      <c r="K6" s="15">
        <f t="shared" si="16"/>
        <v>0</v>
      </c>
      <c r="L6" s="15"/>
      <c r="M6" s="15">
        <f t="shared" si="2"/>
        <v>0</v>
      </c>
      <c r="N6" s="15"/>
      <c r="O6" s="15">
        <f t="shared" si="3"/>
        <v>0</v>
      </c>
      <c r="P6" s="15"/>
      <c r="Q6" s="15">
        <f t="shared" si="4"/>
        <v>0</v>
      </c>
      <c r="R6" s="15"/>
      <c r="S6" s="15">
        <f t="shared" si="5"/>
        <v>0</v>
      </c>
      <c r="T6" s="15"/>
      <c r="U6" s="15">
        <f t="shared" si="6"/>
        <v>0</v>
      </c>
      <c r="V6" s="15">
        <f t="shared" si="7"/>
        <v>0</v>
      </c>
      <c r="W6" s="17" t="s">
        <v>11</v>
      </c>
      <c r="X6" s="17">
        <v>3</v>
      </c>
      <c r="Y6" s="18">
        <v>0.317</v>
      </c>
      <c r="Z6" s="1">
        <f t="shared" si="8"/>
        <v>0</v>
      </c>
      <c r="AA6" s="21"/>
      <c r="AC6" s="21"/>
      <c r="AE6" s="19"/>
      <c r="AF6" s="20">
        <f>SUMIF('[1]G-Chart'!G:G,[1]Capacity!D6,'[1]G-Chart'!L:L)</f>
        <v>0</v>
      </c>
      <c r="AG6" s="2">
        <f t="shared" si="9"/>
        <v>0</v>
      </c>
      <c r="AH6" s="2">
        <f t="shared" si="10"/>
        <v>0</v>
      </c>
      <c r="AI6" s="2">
        <f t="shared" si="11"/>
        <v>0</v>
      </c>
      <c r="AJ6" s="1">
        <f t="shared" si="12"/>
        <v>0</v>
      </c>
      <c r="AK6" s="1">
        <f t="shared" si="13"/>
        <v>0</v>
      </c>
      <c r="AL6" s="1">
        <f t="shared" si="14"/>
        <v>0</v>
      </c>
      <c r="AM6" s="1">
        <f t="shared" si="17"/>
        <v>0</v>
      </c>
    </row>
    <row r="7" spans="1:39" x14ac:dyDescent="0.3">
      <c r="A7" s="12">
        <v>5</v>
      </c>
      <c r="B7" s="12" t="s">
        <v>26</v>
      </c>
      <c r="C7" s="13" t="s">
        <v>39</v>
      </c>
      <c r="D7" s="13" t="s">
        <v>40</v>
      </c>
      <c r="E7" s="14" t="s">
        <v>41</v>
      </c>
      <c r="F7" s="15">
        <v>0</v>
      </c>
      <c r="G7" s="16">
        <f t="shared" si="15"/>
        <v>3</v>
      </c>
      <c r="H7" s="15"/>
      <c r="I7" s="15">
        <f t="shared" si="1"/>
        <v>0</v>
      </c>
      <c r="J7" s="15"/>
      <c r="K7" s="15">
        <f t="shared" si="16"/>
        <v>0</v>
      </c>
      <c r="L7" s="15">
        <v>3</v>
      </c>
      <c r="M7" s="15">
        <f t="shared" si="2"/>
        <v>0</v>
      </c>
      <c r="N7" s="15"/>
      <c r="O7" s="15">
        <f t="shared" si="3"/>
        <v>0</v>
      </c>
      <c r="P7" s="15"/>
      <c r="Q7" s="15">
        <f t="shared" si="4"/>
        <v>0</v>
      </c>
      <c r="R7" s="15"/>
      <c r="S7" s="15">
        <f t="shared" si="5"/>
        <v>0</v>
      </c>
      <c r="T7" s="15"/>
      <c r="U7" s="15">
        <f t="shared" si="6"/>
        <v>0</v>
      </c>
      <c r="V7" s="15">
        <f t="shared" si="7"/>
        <v>0</v>
      </c>
      <c r="W7" s="17" t="s">
        <v>9</v>
      </c>
      <c r="X7" s="17">
        <v>7</v>
      </c>
      <c r="Y7" s="18"/>
      <c r="Z7" s="1">
        <f t="shared" si="8"/>
        <v>0</v>
      </c>
      <c r="AA7" s="21"/>
      <c r="AC7" s="21"/>
      <c r="AE7" s="19"/>
      <c r="AF7" s="20">
        <f>SUMIF('[1]G-Chart'!G:G,[1]Capacity!D7,'[1]G-Chart'!L:L)</f>
        <v>0</v>
      </c>
      <c r="AG7" s="2">
        <f t="shared" si="9"/>
        <v>0</v>
      </c>
      <c r="AH7" s="2">
        <f t="shared" si="10"/>
        <v>0</v>
      </c>
      <c r="AI7" s="2">
        <f t="shared" si="11"/>
        <v>0</v>
      </c>
      <c r="AJ7" s="1">
        <f t="shared" si="12"/>
        <v>0</v>
      </c>
      <c r="AK7" s="1">
        <f t="shared" si="13"/>
        <v>0</v>
      </c>
      <c r="AL7" s="1">
        <f t="shared" si="14"/>
        <v>0</v>
      </c>
      <c r="AM7" s="1">
        <f t="shared" si="17"/>
        <v>0</v>
      </c>
    </row>
    <row r="8" spans="1:39" x14ac:dyDescent="0.3">
      <c r="A8" s="12">
        <v>6</v>
      </c>
      <c r="B8" s="12" t="s">
        <v>26</v>
      </c>
      <c r="C8" s="13" t="s">
        <v>42</v>
      </c>
      <c r="D8" s="13" t="s">
        <v>43</v>
      </c>
      <c r="E8" s="14" t="s">
        <v>44</v>
      </c>
      <c r="F8" s="15">
        <v>0</v>
      </c>
      <c r="G8" s="16">
        <f t="shared" si="15"/>
        <v>2</v>
      </c>
      <c r="H8" s="15"/>
      <c r="I8" s="15">
        <f t="shared" si="1"/>
        <v>0</v>
      </c>
      <c r="J8" s="15"/>
      <c r="K8" s="15">
        <f t="shared" si="16"/>
        <v>0</v>
      </c>
      <c r="L8" s="15"/>
      <c r="M8" s="15">
        <f t="shared" si="2"/>
        <v>0</v>
      </c>
      <c r="N8" s="15"/>
      <c r="O8" s="15">
        <f t="shared" si="3"/>
        <v>0</v>
      </c>
      <c r="P8" s="15"/>
      <c r="Q8" s="15">
        <f t="shared" si="4"/>
        <v>0</v>
      </c>
      <c r="R8" s="15"/>
      <c r="S8" s="15">
        <f t="shared" si="5"/>
        <v>0</v>
      </c>
      <c r="T8" s="15">
        <v>2</v>
      </c>
      <c r="U8" s="15">
        <f t="shared" si="6"/>
        <v>0</v>
      </c>
      <c r="V8" s="15">
        <f t="shared" si="7"/>
        <v>0</v>
      </c>
      <c r="W8" s="17" t="s">
        <v>45</v>
      </c>
      <c r="X8" s="17">
        <v>1</v>
      </c>
      <c r="Y8" s="18">
        <v>5.3999999999999999E-2</v>
      </c>
      <c r="Z8" s="1">
        <f t="shared" si="8"/>
        <v>0</v>
      </c>
      <c r="AA8" s="21"/>
      <c r="AC8" s="21"/>
      <c r="AE8" s="19"/>
      <c r="AF8" s="20">
        <f>SUMIF('[1]G-Chart'!G:G,[1]Capacity!D8,'[1]G-Chart'!L:L)</f>
        <v>0</v>
      </c>
      <c r="AG8" s="2">
        <f t="shared" si="9"/>
        <v>0</v>
      </c>
      <c r="AH8" s="2">
        <f t="shared" si="10"/>
        <v>0</v>
      </c>
      <c r="AI8" s="2">
        <f t="shared" si="11"/>
        <v>0</v>
      </c>
      <c r="AJ8" s="1">
        <f t="shared" si="12"/>
        <v>0</v>
      </c>
      <c r="AK8" s="1">
        <f t="shared" si="13"/>
        <v>0</v>
      </c>
      <c r="AL8" s="1">
        <f t="shared" si="14"/>
        <v>0</v>
      </c>
      <c r="AM8" s="1">
        <f t="shared" si="17"/>
        <v>0</v>
      </c>
    </row>
    <row r="9" spans="1:39" x14ac:dyDescent="0.3">
      <c r="A9" s="12">
        <v>7</v>
      </c>
      <c r="B9" s="12" t="s">
        <v>26</v>
      </c>
      <c r="C9" s="13" t="s">
        <v>46</v>
      </c>
      <c r="D9" s="22" t="s">
        <v>47</v>
      </c>
      <c r="E9" s="14" t="s">
        <v>48</v>
      </c>
      <c r="F9" s="15">
        <v>0</v>
      </c>
      <c r="G9" s="16">
        <f t="shared" si="15"/>
        <v>2</v>
      </c>
      <c r="H9" s="15"/>
      <c r="I9" s="15">
        <f t="shared" si="1"/>
        <v>0</v>
      </c>
      <c r="J9" s="15"/>
      <c r="K9" s="15">
        <f t="shared" si="16"/>
        <v>0</v>
      </c>
      <c r="L9" s="15"/>
      <c r="M9" s="15">
        <f t="shared" si="2"/>
        <v>0</v>
      </c>
      <c r="N9" s="15"/>
      <c r="O9" s="15">
        <f t="shared" si="3"/>
        <v>0</v>
      </c>
      <c r="P9" s="15"/>
      <c r="Q9" s="15">
        <f t="shared" si="4"/>
        <v>0</v>
      </c>
      <c r="R9" s="15"/>
      <c r="S9" s="15">
        <f t="shared" si="5"/>
        <v>0</v>
      </c>
      <c r="T9" s="15">
        <v>2</v>
      </c>
      <c r="U9" s="15">
        <f t="shared" si="6"/>
        <v>0</v>
      </c>
      <c r="V9" s="15">
        <f t="shared" si="7"/>
        <v>0</v>
      </c>
      <c r="W9" s="17" t="s">
        <v>8</v>
      </c>
      <c r="X9" s="17">
        <v>5</v>
      </c>
      <c r="Y9" s="18">
        <v>5.3999999999999999E-2</v>
      </c>
      <c r="Z9" s="1">
        <f t="shared" si="8"/>
        <v>0</v>
      </c>
      <c r="AA9" s="21"/>
      <c r="AC9" s="21"/>
      <c r="AE9" s="19"/>
      <c r="AF9" s="20">
        <f>SUMIF('[1]G-Chart'!G:G,[1]Capacity!D9,'[1]G-Chart'!L:L)</f>
        <v>0</v>
      </c>
      <c r="AG9" s="2">
        <f t="shared" si="9"/>
        <v>0</v>
      </c>
      <c r="AH9" s="2">
        <f t="shared" si="10"/>
        <v>0</v>
      </c>
      <c r="AI9" s="2">
        <f t="shared" si="11"/>
        <v>0</v>
      </c>
      <c r="AJ9" s="1">
        <f t="shared" si="12"/>
        <v>0</v>
      </c>
      <c r="AK9" s="1">
        <f t="shared" si="13"/>
        <v>0</v>
      </c>
      <c r="AL9" s="1">
        <f t="shared" si="14"/>
        <v>0</v>
      </c>
      <c r="AM9" s="1">
        <f t="shared" si="17"/>
        <v>0</v>
      </c>
    </row>
    <row r="10" spans="1:39" x14ac:dyDescent="0.3">
      <c r="A10" s="12">
        <v>8</v>
      </c>
      <c r="B10" s="12" t="s">
        <v>26</v>
      </c>
      <c r="C10" s="13" t="s">
        <v>49</v>
      </c>
      <c r="D10" s="13" t="s">
        <v>50</v>
      </c>
      <c r="E10" s="14" t="s">
        <v>51</v>
      </c>
      <c r="F10" s="15">
        <f>AB10</f>
        <v>0</v>
      </c>
      <c r="G10" s="16">
        <f t="shared" si="15"/>
        <v>2.5</v>
      </c>
      <c r="H10" s="15"/>
      <c r="I10" s="15">
        <f t="shared" si="1"/>
        <v>0</v>
      </c>
      <c r="J10" s="15"/>
      <c r="K10" s="15">
        <f t="shared" si="16"/>
        <v>0</v>
      </c>
      <c r="L10" s="15"/>
      <c r="M10" s="15">
        <f t="shared" si="2"/>
        <v>0</v>
      </c>
      <c r="N10" s="15"/>
      <c r="O10" s="15">
        <f t="shared" si="3"/>
        <v>0</v>
      </c>
      <c r="P10" s="15"/>
      <c r="Q10" s="15">
        <f t="shared" si="4"/>
        <v>0</v>
      </c>
      <c r="R10" s="15">
        <v>1.5</v>
      </c>
      <c r="S10" s="15">
        <f t="shared" si="5"/>
        <v>0</v>
      </c>
      <c r="T10" s="15">
        <v>1</v>
      </c>
      <c r="U10" s="15">
        <f t="shared" si="6"/>
        <v>0</v>
      </c>
      <c r="V10" s="15">
        <f t="shared" si="7"/>
        <v>0</v>
      </c>
      <c r="W10" s="17"/>
      <c r="X10" s="17"/>
      <c r="Y10" s="18"/>
      <c r="Z10" s="1">
        <f t="shared" si="8"/>
        <v>0</v>
      </c>
      <c r="AA10" s="21"/>
      <c r="AC10" s="21"/>
      <c r="AE10" s="19"/>
      <c r="AF10" s="20">
        <f>SUMIF('[1]G-Chart'!G:G,[1]Capacity!D10,'[1]G-Chart'!L:L)</f>
        <v>0</v>
      </c>
      <c r="AG10" s="2">
        <f t="shared" si="9"/>
        <v>0</v>
      </c>
      <c r="AH10" s="2">
        <f t="shared" si="10"/>
        <v>0</v>
      </c>
      <c r="AI10" s="2">
        <f t="shared" si="11"/>
        <v>0</v>
      </c>
      <c r="AJ10" s="1">
        <f t="shared" si="12"/>
        <v>0</v>
      </c>
      <c r="AK10" s="1">
        <f t="shared" si="13"/>
        <v>0</v>
      </c>
      <c r="AL10" s="1">
        <f t="shared" si="14"/>
        <v>0</v>
      </c>
      <c r="AM10" s="1">
        <f t="shared" si="17"/>
        <v>0</v>
      </c>
    </row>
    <row r="11" spans="1:39" x14ac:dyDescent="0.3">
      <c r="A11" s="12">
        <v>9</v>
      </c>
      <c r="B11" s="12" t="s">
        <v>26</v>
      </c>
      <c r="C11" s="13" t="s">
        <v>52</v>
      </c>
      <c r="D11" s="13" t="s">
        <v>53</v>
      </c>
      <c r="E11" s="14" t="s">
        <v>54</v>
      </c>
      <c r="F11" s="15">
        <v>0</v>
      </c>
      <c r="G11" s="16">
        <f t="shared" si="15"/>
        <v>2.5</v>
      </c>
      <c r="H11" s="15"/>
      <c r="I11" s="15">
        <f t="shared" si="1"/>
        <v>0</v>
      </c>
      <c r="J11" s="15"/>
      <c r="K11" s="15">
        <f t="shared" si="16"/>
        <v>0</v>
      </c>
      <c r="L11" s="15"/>
      <c r="M11" s="15">
        <f t="shared" si="2"/>
        <v>0</v>
      </c>
      <c r="N11" s="15"/>
      <c r="O11" s="15">
        <f t="shared" si="3"/>
        <v>0</v>
      </c>
      <c r="P11" s="15"/>
      <c r="Q11" s="15">
        <f t="shared" si="4"/>
        <v>0</v>
      </c>
      <c r="R11" s="15">
        <v>1.5</v>
      </c>
      <c r="S11" s="15">
        <f t="shared" si="5"/>
        <v>0</v>
      </c>
      <c r="T11" s="15">
        <v>1</v>
      </c>
      <c r="U11" s="15">
        <f t="shared" si="6"/>
        <v>0</v>
      </c>
      <c r="V11" s="15">
        <f t="shared" si="7"/>
        <v>0</v>
      </c>
      <c r="W11" s="17"/>
      <c r="X11" s="17"/>
      <c r="Y11" s="18">
        <v>4.7E-2</v>
      </c>
      <c r="Z11" s="1">
        <f t="shared" si="8"/>
        <v>0</v>
      </c>
      <c r="AA11" s="21"/>
      <c r="AC11" s="21"/>
      <c r="AE11" s="19"/>
      <c r="AF11" s="20">
        <f>SUMIF('[1]G-Chart'!G:G,[1]Capacity!D11,'[1]G-Chart'!L:L)</f>
        <v>0</v>
      </c>
      <c r="AG11" s="2">
        <f t="shared" si="9"/>
        <v>0</v>
      </c>
      <c r="AH11" s="2">
        <f t="shared" si="10"/>
        <v>0</v>
      </c>
      <c r="AI11" s="2">
        <f t="shared" si="11"/>
        <v>0</v>
      </c>
      <c r="AJ11" s="1">
        <f t="shared" si="12"/>
        <v>0</v>
      </c>
      <c r="AK11" s="1">
        <f t="shared" si="13"/>
        <v>0</v>
      </c>
      <c r="AL11" s="1">
        <f t="shared" si="14"/>
        <v>0</v>
      </c>
      <c r="AM11" s="1">
        <f t="shared" si="17"/>
        <v>0</v>
      </c>
    </row>
    <row r="12" spans="1:39" x14ac:dyDescent="0.3">
      <c r="A12" s="12">
        <v>10</v>
      </c>
      <c r="B12" s="12" t="s">
        <v>26</v>
      </c>
      <c r="C12" s="13" t="s">
        <v>55</v>
      </c>
      <c r="D12" s="13" t="s">
        <v>56</v>
      </c>
      <c r="E12" s="14" t="s">
        <v>57</v>
      </c>
      <c r="F12" s="15">
        <v>0</v>
      </c>
      <c r="G12" s="16">
        <f t="shared" si="15"/>
        <v>4</v>
      </c>
      <c r="H12" s="15"/>
      <c r="I12" s="15">
        <f t="shared" si="1"/>
        <v>0</v>
      </c>
      <c r="J12" s="15">
        <v>2</v>
      </c>
      <c r="K12" s="15">
        <f t="shared" si="16"/>
        <v>0</v>
      </c>
      <c r="L12" s="15">
        <v>2</v>
      </c>
      <c r="M12" s="15">
        <f t="shared" si="2"/>
        <v>0</v>
      </c>
      <c r="N12" s="15"/>
      <c r="O12" s="15">
        <f t="shared" si="3"/>
        <v>0</v>
      </c>
      <c r="P12" s="15"/>
      <c r="Q12" s="15">
        <f t="shared" si="4"/>
        <v>0</v>
      </c>
      <c r="R12" s="15"/>
      <c r="S12" s="15">
        <f t="shared" si="5"/>
        <v>0</v>
      </c>
      <c r="T12" s="15"/>
      <c r="U12" s="15">
        <f t="shared" si="6"/>
        <v>0</v>
      </c>
      <c r="V12" s="15">
        <f t="shared" si="7"/>
        <v>0</v>
      </c>
      <c r="W12" s="17"/>
      <c r="X12" s="17"/>
      <c r="Y12" s="18">
        <v>0.05</v>
      </c>
      <c r="Z12" s="1">
        <f t="shared" si="8"/>
        <v>0</v>
      </c>
      <c r="AA12" s="21"/>
      <c r="AC12" s="21"/>
      <c r="AE12" s="19"/>
      <c r="AF12" s="20">
        <f>SUMIF('[1]G-Chart'!G:G,[1]Capacity!D12,'[1]G-Chart'!L:L)</f>
        <v>88</v>
      </c>
      <c r="AG12" s="2">
        <f t="shared" si="9"/>
        <v>176</v>
      </c>
      <c r="AH12" s="2">
        <f t="shared" si="10"/>
        <v>176</v>
      </c>
      <c r="AI12" s="2">
        <f t="shared" si="11"/>
        <v>0</v>
      </c>
      <c r="AJ12" s="1">
        <f t="shared" si="12"/>
        <v>0</v>
      </c>
      <c r="AK12" s="1">
        <f t="shared" si="13"/>
        <v>0</v>
      </c>
      <c r="AL12" s="1">
        <f t="shared" si="14"/>
        <v>0</v>
      </c>
      <c r="AM12" s="1">
        <f t="shared" si="17"/>
        <v>352</v>
      </c>
    </row>
    <row r="13" spans="1:39" x14ac:dyDescent="0.3">
      <c r="A13" s="12">
        <v>11</v>
      </c>
      <c r="B13" s="12" t="s">
        <v>26</v>
      </c>
      <c r="C13" s="13" t="s">
        <v>58</v>
      </c>
      <c r="D13" s="13" t="s">
        <v>59</v>
      </c>
      <c r="E13" s="14" t="s">
        <v>60</v>
      </c>
      <c r="F13" s="15">
        <v>0</v>
      </c>
      <c r="G13" s="16">
        <f t="shared" si="15"/>
        <v>4</v>
      </c>
      <c r="H13" s="15"/>
      <c r="I13" s="15">
        <f t="shared" si="1"/>
        <v>0</v>
      </c>
      <c r="J13" s="15">
        <v>2</v>
      </c>
      <c r="K13" s="15">
        <f t="shared" si="16"/>
        <v>0</v>
      </c>
      <c r="L13" s="15">
        <v>2</v>
      </c>
      <c r="M13" s="15">
        <f t="shared" si="2"/>
        <v>0</v>
      </c>
      <c r="N13" s="15"/>
      <c r="O13" s="15">
        <f t="shared" si="3"/>
        <v>0</v>
      </c>
      <c r="P13" s="15"/>
      <c r="Q13" s="15">
        <f t="shared" si="4"/>
        <v>0</v>
      </c>
      <c r="R13" s="15"/>
      <c r="S13" s="15">
        <f t="shared" si="5"/>
        <v>0</v>
      </c>
      <c r="T13" s="15"/>
      <c r="U13" s="15">
        <f t="shared" si="6"/>
        <v>0</v>
      </c>
      <c r="V13" s="15">
        <f t="shared" si="7"/>
        <v>0</v>
      </c>
      <c r="W13" s="17"/>
      <c r="X13" s="17"/>
      <c r="Y13" s="18">
        <v>0.1</v>
      </c>
      <c r="Z13" s="1">
        <f t="shared" si="8"/>
        <v>0</v>
      </c>
      <c r="AA13" s="21"/>
      <c r="AC13" s="21"/>
      <c r="AE13" s="19"/>
      <c r="AF13" s="20">
        <f>SUMIF('[1]G-Chart'!G:G,[1]Capacity!D13,'[1]G-Chart'!L:L)</f>
        <v>595</v>
      </c>
      <c r="AG13" s="2">
        <f t="shared" si="9"/>
        <v>1190</v>
      </c>
      <c r="AH13" s="2">
        <f t="shared" si="10"/>
        <v>1190</v>
      </c>
      <c r="AI13" s="2">
        <f t="shared" si="11"/>
        <v>0</v>
      </c>
      <c r="AJ13" s="1">
        <f t="shared" si="12"/>
        <v>0</v>
      </c>
      <c r="AK13" s="1">
        <f t="shared" si="13"/>
        <v>0</v>
      </c>
      <c r="AL13" s="1">
        <f t="shared" si="14"/>
        <v>0</v>
      </c>
      <c r="AM13" s="1">
        <f t="shared" si="17"/>
        <v>2380</v>
      </c>
    </row>
    <row r="14" spans="1:39" x14ac:dyDescent="0.3">
      <c r="A14" s="12">
        <v>12</v>
      </c>
      <c r="B14" s="12" t="s">
        <v>26</v>
      </c>
      <c r="C14" s="13" t="s">
        <v>61</v>
      </c>
      <c r="D14" s="13" t="s">
        <v>61</v>
      </c>
      <c r="E14" s="14" t="s">
        <v>62</v>
      </c>
      <c r="F14" s="15">
        <v>0</v>
      </c>
      <c r="G14" s="16">
        <f t="shared" si="15"/>
        <v>2</v>
      </c>
      <c r="H14" s="15"/>
      <c r="I14" s="15">
        <f t="shared" si="1"/>
        <v>0</v>
      </c>
      <c r="J14" s="15"/>
      <c r="K14" s="15">
        <f t="shared" si="16"/>
        <v>0</v>
      </c>
      <c r="L14" s="15"/>
      <c r="M14" s="15">
        <f t="shared" si="2"/>
        <v>0</v>
      </c>
      <c r="N14" s="15"/>
      <c r="O14" s="15">
        <f t="shared" si="3"/>
        <v>0</v>
      </c>
      <c r="P14" s="15"/>
      <c r="Q14" s="15">
        <f t="shared" si="4"/>
        <v>0</v>
      </c>
      <c r="R14" s="15"/>
      <c r="S14" s="15">
        <f t="shared" si="5"/>
        <v>0</v>
      </c>
      <c r="T14" s="15">
        <v>2</v>
      </c>
      <c r="U14" s="15">
        <f t="shared" si="6"/>
        <v>0</v>
      </c>
      <c r="V14" s="15">
        <f t="shared" si="7"/>
        <v>0</v>
      </c>
      <c r="W14" s="17"/>
      <c r="X14" s="17"/>
      <c r="Y14" s="18">
        <v>4.0000000000000001E-3</v>
      </c>
      <c r="Z14" s="1">
        <f t="shared" si="8"/>
        <v>0</v>
      </c>
      <c r="AA14" s="21"/>
      <c r="AC14" s="21"/>
      <c r="AE14" s="19"/>
      <c r="AF14" s="20">
        <f>SUMIF('[1]G-Chart'!G:G,[1]Capacity!D14,'[1]G-Chart'!L:L)</f>
        <v>2214</v>
      </c>
      <c r="AG14" s="2">
        <f t="shared" si="9"/>
        <v>0</v>
      </c>
      <c r="AH14" s="2">
        <f t="shared" si="10"/>
        <v>0</v>
      </c>
      <c r="AI14" s="2">
        <f t="shared" si="11"/>
        <v>0</v>
      </c>
      <c r="AJ14" s="1">
        <f t="shared" si="12"/>
        <v>0</v>
      </c>
      <c r="AK14" s="1">
        <f t="shared" si="13"/>
        <v>0</v>
      </c>
      <c r="AL14" s="1">
        <f t="shared" si="14"/>
        <v>4428</v>
      </c>
      <c r="AM14" s="1">
        <f t="shared" si="17"/>
        <v>4428</v>
      </c>
    </row>
    <row r="15" spans="1:39" x14ac:dyDescent="0.3">
      <c r="A15" s="12">
        <v>13</v>
      </c>
      <c r="B15" s="12" t="s">
        <v>26</v>
      </c>
      <c r="C15" s="13" t="s">
        <v>63</v>
      </c>
      <c r="D15" s="13" t="s">
        <v>64</v>
      </c>
      <c r="E15" s="14" t="s">
        <v>65</v>
      </c>
      <c r="F15" s="15">
        <v>0</v>
      </c>
      <c r="G15" s="16">
        <f t="shared" si="15"/>
        <v>2</v>
      </c>
      <c r="H15" s="15"/>
      <c r="I15" s="15">
        <f t="shared" si="1"/>
        <v>0</v>
      </c>
      <c r="J15" s="15"/>
      <c r="K15" s="15">
        <f t="shared" si="16"/>
        <v>0</v>
      </c>
      <c r="L15" s="15"/>
      <c r="M15" s="15">
        <f t="shared" si="2"/>
        <v>0</v>
      </c>
      <c r="N15" s="15"/>
      <c r="O15" s="15">
        <f t="shared" si="3"/>
        <v>0</v>
      </c>
      <c r="P15" s="15"/>
      <c r="Q15" s="15">
        <f t="shared" si="4"/>
        <v>0</v>
      </c>
      <c r="R15" s="15"/>
      <c r="S15" s="15">
        <f t="shared" si="5"/>
        <v>0</v>
      </c>
      <c r="T15" s="15">
        <v>2</v>
      </c>
      <c r="U15" s="15">
        <f t="shared" si="6"/>
        <v>0</v>
      </c>
      <c r="V15" s="15">
        <f t="shared" si="7"/>
        <v>0</v>
      </c>
      <c r="W15" s="17"/>
      <c r="X15" s="17"/>
      <c r="Y15" s="18">
        <v>0.1</v>
      </c>
      <c r="Z15" s="1">
        <f t="shared" si="8"/>
        <v>0</v>
      </c>
      <c r="AA15" s="21"/>
      <c r="AC15" s="21"/>
      <c r="AE15" s="19"/>
      <c r="AF15" s="20">
        <f>SUMIF('[1]G-Chart'!G:G,[1]Capacity!D15,'[1]G-Chart'!L:L)</f>
        <v>0</v>
      </c>
      <c r="AG15" s="2">
        <f t="shared" si="9"/>
        <v>0</v>
      </c>
      <c r="AH15" s="2">
        <f t="shared" si="10"/>
        <v>0</v>
      </c>
      <c r="AI15" s="2">
        <f t="shared" si="11"/>
        <v>0</v>
      </c>
      <c r="AJ15" s="1">
        <f t="shared" si="12"/>
        <v>0</v>
      </c>
      <c r="AK15" s="1">
        <f t="shared" si="13"/>
        <v>0</v>
      </c>
      <c r="AL15" s="1">
        <f t="shared" si="14"/>
        <v>0</v>
      </c>
      <c r="AM15" s="1">
        <f t="shared" si="17"/>
        <v>0</v>
      </c>
    </row>
    <row r="16" spans="1:39" x14ac:dyDescent="0.3">
      <c r="A16" s="12">
        <v>14</v>
      </c>
      <c r="B16" s="12" t="s">
        <v>26</v>
      </c>
      <c r="C16" s="13" t="s">
        <v>66</v>
      </c>
      <c r="D16" s="13" t="s">
        <v>67</v>
      </c>
      <c r="E16" s="14" t="s">
        <v>68</v>
      </c>
      <c r="F16" s="15">
        <v>0</v>
      </c>
      <c r="G16" s="16">
        <f t="shared" si="15"/>
        <v>3</v>
      </c>
      <c r="H16" s="15"/>
      <c r="I16" s="15">
        <f t="shared" si="1"/>
        <v>0</v>
      </c>
      <c r="J16" s="15"/>
      <c r="K16" s="15">
        <f t="shared" si="16"/>
        <v>0</v>
      </c>
      <c r="L16" s="15"/>
      <c r="M16" s="15">
        <f t="shared" si="2"/>
        <v>0</v>
      </c>
      <c r="N16" s="15"/>
      <c r="O16" s="15">
        <f t="shared" si="3"/>
        <v>0</v>
      </c>
      <c r="P16" s="15"/>
      <c r="Q16" s="15">
        <f t="shared" si="4"/>
        <v>0</v>
      </c>
      <c r="R16" s="15"/>
      <c r="S16" s="15">
        <f t="shared" si="5"/>
        <v>0</v>
      </c>
      <c r="T16" s="15">
        <v>3</v>
      </c>
      <c r="U16" s="15">
        <f t="shared" si="6"/>
        <v>0</v>
      </c>
      <c r="V16" s="15">
        <f t="shared" si="7"/>
        <v>0</v>
      </c>
      <c r="W16" s="17"/>
      <c r="X16" s="17"/>
      <c r="Y16" s="18">
        <v>2.8000000000000001E-2</v>
      </c>
      <c r="Z16" s="1">
        <f t="shared" si="8"/>
        <v>0</v>
      </c>
      <c r="AA16" s="21"/>
      <c r="AC16" s="21"/>
      <c r="AE16" s="19"/>
      <c r="AF16" s="20">
        <f>SUMIF('[1]G-Chart'!G:G,[1]Capacity!D16,'[1]G-Chart'!L:L)</f>
        <v>-3</v>
      </c>
      <c r="AG16" s="2">
        <f t="shared" si="9"/>
        <v>0</v>
      </c>
      <c r="AH16" s="2">
        <f t="shared" si="10"/>
        <v>0</v>
      </c>
      <c r="AI16" s="2">
        <f t="shared" si="11"/>
        <v>0</v>
      </c>
      <c r="AJ16" s="1">
        <f t="shared" si="12"/>
        <v>0</v>
      </c>
      <c r="AK16" s="1">
        <f t="shared" si="13"/>
        <v>0</v>
      </c>
      <c r="AL16" s="1">
        <v>0</v>
      </c>
      <c r="AM16" s="1">
        <f t="shared" si="17"/>
        <v>-9</v>
      </c>
    </row>
    <row r="17" spans="1:39" x14ac:dyDescent="0.3">
      <c r="A17" s="12">
        <v>15</v>
      </c>
      <c r="B17" s="12" t="s">
        <v>26</v>
      </c>
      <c r="C17" s="13" t="s">
        <v>69</v>
      </c>
      <c r="D17" s="13" t="s">
        <v>70</v>
      </c>
      <c r="E17" s="14" t="s">
        <v>71</v>
      </c>
      <c r="F17" s="15">
        <v>0</v>
      </c>
      <c r="G17" s="16">
        <f t="shared" si="15"/>
        <v>2</v>
      </c>
      <c r="H17" s="15"/>
      <c r="I17" s="15">
        <f t="shared" si="1"/>
        <v>0</v>
      </c>
      <c r="J17" s="15">
        <v>1</v>
      </c>
      <c r="K17" s="15">
        <f t="shared" si="16"/>
        <v>0</v>
      </c>
      <c r="L17" s="15">
        <v>1</v>
      </c>
      <c r="M17" s="15">
        <f t="shared" si="2"/>
        <v>0</v>
      </c>
      <c r="N17" s="15"/>
      <c r="O17" s="15">
        <f t="shared" si="3"/>
        <v>0</v>
      </c>
      <c r="P17" s="15"/>
      <c r="Q17" s="15">
        <f t="shared" si="4"/>
        <v>0</v>
      </c>
      <c r="R17" s="15"/>
      <c r="S17" s="15">
        <f t="shared" si="5"/>
        <v>0</v>
      </c>
      <c r="T17" s="15"/>
      <c r="U17" s="15">
        <f t="shared" si="6"/>
        <v>0</v>
      </c>
      <c r="V17" s="15">
        <f t="shared" si="7"/>
        <v>0</v>
      </c>
      <c r="W17" s="17"/>
      <c r="X17" s="17"/>
      <c r="Y17" s="18">
        <v>0.128</v>
      </c>
      <c r="Z17" s="1">
        <f t="shared" si="8"/>
        <v>0</v>
      </c>
      <c r="AA17" s="21"/>
      <c r="AC17" s="21"/>
      <c r="AE17" s="19"/>
      <c r="AF17" s="20">
        <f>SUMIF('[1]G-Chart'!G:G,[1]Capacity!D17,'[1]G-Chart'!L:L)</f>
        <v>2023</v>
      </c>
      <c r="AG17" s="2">
        <f t="shared" si="9"/>
        <v>2023</v>
      </c>
      <c r="AH17" s="2">
        <f t="shared" si="10"/>
        <v>2023</v>
      </c>
      <c r="AI17" s="2">
        <f t="shared" si="11"/>
        <v>0</v>
      </c>
      <c r="AJ17" s="1">
        <f t="shared" si="12"/>
        <v>0</v>
      </c>
      <c r="AK17" s="1">
        <f t="shared" si="13"/>
        <v>0</v>
      </c>
      <c r="AL17" s="1">
        <f t="shared" si="14"/>
        <v>0</v>
      </c>
      <c r="AM17" s="1">
        <f t="shared" si="17"/>
        <v>4046</v>
      </c>
    </row>
    <row r="18" spans="1:39" x14ac:dyDescent="0.3">
      <c r="A18" s="12">
        <v>16</v>
      </c>
      <c r="B18" s="12" t="s">
        <v>26</v>
      </c>
      <c r="C18" s="13" t="s">
        <v>72</v>
      </c>
      <c r="D18" s="13" t="s">
        <v>73</v>
      </c>
      <c r="E18" s="14"/>
      <c r="F18" s="15">
        <v>0</v>
      </c>
      <c r="G18" s="16">
        <f t="shared" si="15"/>
        <v>2</v>
      </c>
      <c r="H18" s="15"/>
      <c r="I18" s="15">
        <f t="shared" si="1"/>
        <v>0</v>
      </c>
      <c r="J18" s="15">
        <v>2</v>
      </c>
      <c r="K18" s="15">
        <f t="shared" si="16"/>
        <v>0</v>
      </c>
      <c r="L18" s="15"/>
      <c r="M18" s="15">
        <f t="shared" si="2"/>
        <v>0</v>
      </c>
      <c r="N18" s="15"/>
      <c r="O18" s="15">
        <f t="shared" si="3"/>
        <v>0</v>
      </c>
      <c r="P18" s="15"/>
      <c r="Q18" s="15">
        <f t="shared" si="4"/>
        <v>0</v>
      </c>
      <c r="R18" s="15"/>
      <c r="S18" s="15">
        <f t="shared" si="5"/>
        <v>0</v>
      </c>
      <c r="T18" s="15"/>
      <c r="U18" s="15">
        <f t="shared" si="6"/>
        <v>0</v>
      </c>
      <c r="V18" s="15">
        <f t="shared" si="7"/>
        <v>0</v>
      </c>
      <c r="W18" s="17"/>
      <c r="X18" s="17"/>
      <c r="Y18" s="18"/>
      <c r="Z18" s="1">
        <f t="shared" si="8"/>
        <v>0</v>
      </c>
      <c r="AA18" s="21"/>
      <c r="AC18" s="21"/>
      <c r="AE18" s="19"/>
      <c r="AF18" s="20">
        <f>SUMIF('[1]G-Chart'!G:G,[1]Capacity!D18,'[1]G-Chart'!L:L)</f>
        <v>0</v>
      </c>
      <c r="AG18" s="2">
        <f t="shared" si="9"/>
        <v>0</v>
      </c>
      <c r="AH18" s="2">
        <f t="shared" si="10"/>
        <v>0</v>
      </c>
      <c r="AI18" s="2">
        <f t="shared" si="11"/>
        <v>0</v>
      </c>
      <c r="AJ18" s="1">
        <f t="shared" si="12"/>
        <v>0</v>
      </c>
      <c r="AK18" s="1">
        <f t="shared" si="13"/>
        <v>0</v>
      </c>
      <c r="AL18" s="1">
        <f t="shared" si="14"/>
        <v>0</v>
      </c>
      <c r="AM18" s="1">
        <f t="shared" si="17"/>
        <v>0</v>
      </c>
    </row>
    <row r="19" spans="1:39" x14ac:dyDescent="0.3">
      <c r="A19" s="12">
        <v>17</v>
      </c>
      <c r="B19" s="12" t="s">
        <v>26</v>
      </c>
      <c r="C19" s="13" t="s">
        <v>74</v>
      </c>
      <c r="D19" s="13" t="s">
        <v>74</v>
      </c>
      <c r="E19" s="14" t="s">
        <v>75</v>
      </c>
      <c r="F19" s="15">
        <v>0</v>
      </c>
      <c r="G19" s="16">
        <f t="shared" si="15"/>
        <v>4</v>
      </c>
      <c r="H19" s="15"/>
      <c r="I19" s="15">
        <f t="shared" si="1"/>
        <v>0</v>
      </c>
      <c r="J19" s="15"/>
      <c r="K19" s="15">
        <f t="shared" si="16"/>
        <v>0</v>
      </c>
      <c r="L19" s="15"/>
      <c r="M19" s="15">
        <f t="shared" si="2"/>
        <v>0</v>
      </c>
      <c r="N19" s="15">
        <v>4</v>
      </c>
      <c r="O19" s="15">
        <f t="shared" si="3"/>
        <v>0</v>
      </c>
      <c r="P19" s="15"/>
      <c r="Q19" s="15">
        <f t="shared" si="4"/>
        <v>0</v>
      </c>
      <c r="R19" s="15"/>
      <c r="S19" s="15">
        <f t="shared" si="5"/>
        <v>0</v>
      </c>
      <c r="T19" s="15"/>
      <c r="U19" s="15">
        <f t="shared" si="6"/>
        <v>0</v>
      </c>
      <c r="V19" s="15">
        <f t="shared" si="7"/>
        <v>0</v>
      </c>
      <c r="W19" s="17"/>
      <c r="X19" s="17"/>
      <c r="Y19" s="18">
        <v>4.7E-2</v>
      </c>
      <c r="Z19" s="1">
        <f t="shared" si="8"/>
        <v>0</v>
      </c>
      <c r="AA19" s="21"/>
      <c r="AC19" s="21"/>
      <c r="AE19" s="19"/>
      <c r="AF19" s="20">
        <f>SUMIF('[1]G-Chart'!G:G,[1]Capacity!D19,'[1]G-Chart'!L:L)</f>
        <v>0</v>
      </c>
      <c r="AG19" s="2">
        <f t="shared" si="9"/>
        <v>0</v>
      </c>
      <c r="AH19" s="2">
        <f t="shared" si="10"/>
        <v>0</v>
      </c>
      <c r="AI19" s="2">
        <f t="shared" si="11"/>
        <v>0</v>
      </c>
      <c r="AJ19" s="1">
        <f t="shared" si="12"/>
        <v>0</v>
      </c>
      <c r="AK19" s="1">
        <f t="shared" si="13"/>
        <v>0</v>
      </c>
      <c r="AL19" s="1">
        <f t="shared" si="14"/>
        <v>0</v>
      </c>
      <c r="AM19" s="1">
        <f t="shared" si="17"/>
        <v>0</v>
      </c>
    </row>
    <row r="20" spans="1:39" x14ac:dyDescent="0.3">
      <c r="A20" s="12">
        <v>18</v>
      </c>
      <c r="B20" s="12" t="s">
        <v>26</v>
      </c>
      <c r="C20" s="13" t="s">
        <v>76</v>
      </c>
      <c r="D20" s="13" t="s">
        <v>76</v>
      </c>
      <c r="E20" s="14" t="s">
        <v>77</v>
      </c>
      <c r="F20" s="15">
        <v>0</v>
      </c>
      <c r="G20" s="16">
        <f t="shared" si="15"/>
        <v>3</v>
      </c>
      <c r="H20" s="15"/>
      <c r="I20" s="15">
        <f t="shared" si="1"/>
        <v>0</v>
      </c>
      <c r="J20" s="15">
        <v>2</v>
      </c>
      <c r="K20" s="15">
        <f t="shared" si="16"/>
        <v>0</v>
      </c>
      <c r="L20" s="15">
        <v>1</v>
      </c>
      <c r="M20" s="15">
        <f t="shared" si="2"/>
        <v>0</v>
      </c>
      <c r="N20" s="15"/>
      <c r="O20" s="15">
        <f t="shared" si="3"/>
        <v>0</v>
      </c>
      <c r="P20" s="15"/>
      <c r="Q20" s="15">
        <f t="shared" si="4"/>
        <v>0</v>
      </c>
      <c r="R20" s="15"/>
      <c r="S20" s="15">
        <f t="shared" si="5"/>
        <v>0</v>
      </c>
      <c r="T20" s="15"/>
      <c r="U20" s="15">
        <f t="shared" si="6"/>
        <v>0</v>
      </c>
      <c r="V20" s="15">
        <f t="shared" si="7"/>
        <v>0</v>
      </c>
      <c r="W20" s="17"/>
      <c r="X20" s="17"/>
      <c r="Y20" s="18">
        <v>0.53400000000000003</v>
      </c>
      <c r="Z20" s="1">
        <f t="shared" si="8"/>
        <v>0</v>
      </c>
      <c r="AA20" s="21"/>
      <c r="AC20" s="21"/>
      <c r="AE20" s="19"/>
      <c r="AF20" s="20">
        <f>SUMIF('[1]G-Chart'!G:G,[1]Capacity!D20,'[1]G-Chart'!L:L)</f>
        <v>0</v>
      </c>
      <c r="AG20" s="2">
        <f t="shared" si="9"/>
        <v>0</v>
      </c>
      <c r="AH20" s="2">
        <f t="shared" si="10"/>
        <v>0</v>
      </c>
      <c r="AI20" s="2">
        <f t="shared" si="11"/>
        <v>0</v>
      </c>
      <c r="AJ20" s="1">
        <f t="shared" si="12"/>
        <v>0</v>
      </c>
      <c r="AK20" s="1">
        <f t="shared" si="13"/>
        <v>0</v>
      </c>
      <c r="AL20" s="1">
        <f t="shared" si="14"/>
        <v>0</v>
      </c>
      <c r="AM20" s="1">
        <f t="shared" si="17"/>
        <v>0</v>
      </c>
    </row>
    <row r="21" spans="1:39" x14ac:dyDescent="0.3">
      <c r="A21" s="12">
        <v>19</v>
      </c>
      <c r="B21" s="12" t="s">
        <v>26</v>
      </c>
      <c r="C21" s="13" t="s">
        <v>78</v>
      </c>
      <c r="D21" s="13" t="s">
        <v>79</v>
      </c>
      <c r="E21" s="14"/>
      <c r="F21" s="15">
        <v>0</v>
      </c>
      <c r="G21" s="16">
        <f t="shared" si="15"/>
        <v>0</v>
      </c>
      <c r="H21" s="15"/>
      <c r="I21" s="15">
        <f t="shared" si="1"/>
        <v>0</v>
      </c>
      <c r="J21" s="15"/>
      <c r="K21" s="15">
        <f t="shared" si="16"/>
        <v>0</v>
      </c>
      <c r="L21" s="15"/>
      <c r="M21" s="15">
        <f t="shared" si="2"/>
        <v>0</v>
      </c>
      <c r="N21" s="15"/>
      <c r="O21" s="15">
        <f t="shared" si="3"/>
        <v>0</v>
      </c>
      <c r="P21" s="15"/>
      <c r="Q21" s="15">
        <f t="shared" si="4"/>
        <v>0</v>
      </c>
      <c r="R21" s="15"/>
      <c r="S21" s="15">
        <f t="shared" si="5"/>
        <v>0</v>
      </c>
      <c r="T21" s="15"/>
      <c r="U21" s="15">
        <f t="shared" si="6"/>
        <v>0</v>
      </c>
      <c r="V21" s="15">
        <f t="shared" si="7"/>
        <v>0</v>
      </c>
      <c r="W21" s="17"/>
      <c r="X21" s="17"/>
      <c r="Y21" s="18"/>
      <c r="Z21" s="1">
        <f t="shared" si="8"/>
        <v>0</v>
      </c>
      <c r="AA21" s="21"/>
      <c r="AC21" s="21"/>
      <c r="AE21" s="19"/>
      <c r="AF21" s="20">
        <f>SUMIF('[1]G-Chart'!G:G,[1]Capacity!D21,'[1]G-Chart'!L:L)</f>
        <v>0</v>
      </c>
      <c r="AG21" s="2">
        <f t="shared" si="9"/>
        <v>0</v>
      </c>
      <c r="AH21" s="2">
        <f t="shared" si="10"/>
        <v>0</v>
      </c>
      <c r="AI21" s="2">
        <f t="shared" si="11"/>
        <v>0</v>
      </c>
      <c r="AJ21" s="1">
        <f t="shared" si="12"/>
        <v>0</v>
      </c>
      <c r="AK21" s="1">
        <f t="shared" si="13"/>
        <v>0</v>
      </c>
      <c r="AL21" s="1">
        <f t="shared" si="14"/>
        <v>0</v>
      </c>
      <c r="AM21" s="1">
        <f t="shared" si="17"/>
        <v>0</v>
      </c>
    </row>
    <row r="22" spans="1:39" x14ac:dyDescent="0.3">
      <c r="A22" s="12">
        <v>20</v>
      </c>
      <c r="B22" s="12" t="s">
        <v>26</v>
      </c>
      <c r="C22" s="13" t="s">
        <v>80</v>
      </c>
      <c r="D22" s="13" t="s">
        <v>81</v>
      </c>
      <c r="E22" s="14" t="s">
        <v>82</v>
      </c>
      <c r="F22" s="15">
        <v>0</v>
      </c>
      <c r="G22" s="16">
        <f t="shared" si="15"/>
        <v>3.5</v>
      </c>
      <c r="H22" s="15"/>
      <c r="I22" s="15">
        <f t="shared" si="1"/>
        <v>0</v>
      </c>
      <c r="J22" s="15"/>
      <c r="K22" s="15">
        <f t="shared" si="16"/>
        <v>0</v>
      </c>
      <c r="L22" s="15"/>
      <c r="M22" s="15">
        <f t="shared" si="2"/>
        <v>0</v>
      </c>
      <c r="N22" s="15">
        <v>2</v>
      </c>
      <c r="O22" s="15">
        <f t="shared" si="3"/>
        <v>0</v>
      </c>
      <c r="P22" s="15">
        <v>1</v>
      </c>
      <c r="Q22" s="15">
        <f t="shared" si="4"/>
        <v>0</v>
      </c>
      <c r="R22" s="15"/>
      <c r="S22" s="15">
        <f t="shared" si="5"/>
        <v>0</v>
      </c>
      <c r="T22" s="15">
        <v>0.5</v>
      </c>
      <c r="U22" s="15">
        <f t="shared" si="6"/>
        <v>0</v>
      </c>
      <c r="V22" s="15">
        <f t="shared" si="7"/>
        <v>0</v>
      </c>
      <c r="W22" s="17"/>
      <c r="X22" s="17"/>
      <c r="Y22" s="18">
        <v>7.0000000000000007E-2</v>
      </c>
      <c r="Z22" s="1">
        <f t="shared" si="8"/>
        <v>0</v>
      </c>
      <c r="AA22" s="21"/>
      <c r="AC22" s="21"/>
      <c r="AE22" s="19"/>
      <c r="AF22" s="20">
        <f>SUMIF('[1]G-Chart'!G:G,[1]Capacity!D22,'[1]G-Chart'!L:L)</f>
        <v>150</v>
      </c>
      <c r="AG22" s="2">
        <f t="shared" si="9"/>
        <v>0</v>
      </c>
      <c r="AH22" s="2">
        <f t="shared" si="10"/>
        <v>0</v>
      </c>
      <c r="AI22" s="2">
        <f t="shared" si="11"/>
        <v>300</v>
      </c>
      <c r="AJ22" s="1">
        <f t="shared" si="12"/>
        <v>150</v>
      </c>
      <c r="AK22" s="1">
        <f t="shared" si="13"/>
        <v>0</v>
      </c>
      <c r="AL22" s="1">
        <f t="shared" si="14"/>
        <v>75</v>
      </c>
      <c r="AM22" s="1">
        <f t="shared" si="17"/>
        <v>525</v>
      </c>
    </row>
    <row r="23" spans="1:39" x14ac:dyDescent="0.3">
      <c r="A23" s="12">
        <v>21</v>
      </c>
      <c r="B23" s="12" t="s">
        <v>26</v>
      </c>
      <c r="C23" s="13" t="s">
        <v>83</v>
      </c>
      <c r="D23" s="13" t="s">
        <v>84</v>
      </c>
      <c r="E23" s="14"/>
      <c r="F23" s="15">
        <v>0</v>
      </c>
      <c r="G23" s="16">
        <f t="shared" si="15"/>
        <v>0</v>
      </c>
      <c r="H23" s="15"/>
      <c r="I23" s="15">
        <f t="shared" si="1"/>
        <v>0</v>
      </c>
      <c r="J23" s="15"/>
      <c r="K23" s="15">
        <f t="shared" si="16"/>
        <v>0</v>
      </c>
      <c r="L23" s="15"/>
      <c r="M23" s="15">
        <f t="shared" si="2"/>
        <v>0</v>
      </c>
      <c r="N23" s="15"/>
      <c r="O23" s="15">
        <f t="shared" si="3"/>
        <v>0</v>
      </c>
      <c r="P23" s="15"/>
      <c r="Q23" s="15">
        <f t="shared" si="4"/>
        <v>0</v>
      </c>
      <c r="R23" s="15"/>
      <c r="S23" s="15">
        <f t="shared" si="5"/>
        <v>0</v>
      </c>
      <c r="T23" s="15"/>
      <c r="U23" s="15">
        <f t="shared" si="6"/>
        <v>0</v>
      </c>
      <c r="V23" s="15">
        <f t="shared" si="7"/>
        <v>0</v>
      </c>
      <c r="W23" s="17"/>
      <c r="X23" s="17"/>
      <c r="Y23" s="18"/>
      <c r="Z23" s="1">
        <f t="shared" si="8"/>
        <v>0</v>
      </c>
      <c r="AA23" s="21"/>
      <c r="AC23" s="21"/>
      <c r="AE23" s="19"/>
      <c r="AF23" s="20">
        <f>SUMIF('[1]G-Chart'!G:G,[1]Capacity!D23,'[1]G-Chart'!L:L)</f>
        <v>0</v>
      </c>
      <c r="AG23" s="2">
        <f t="shared" si="9"/>
        <v>0</v>
      </c>
      <c r="AH23" s="2">
        <f t="shared" si="10"/>
        <v>0</v>
      </c>
      <c r="AI23" s="2">
        <f t="shared" si="11"/>
        <v>0</v>
      </c>
      <c r="AJ23" s="1">
        <f t="shared" si="12"/>
        <v>0</v>
      </c>
      <c r="AK23" s="1">
        <f t="shared" si="13"/>
        <v>0</v>
      </c>
      <c r="AL23" s="1">
        <f t="shared" si="14"/>
        <v>0</v>
      </c>
      <c r="AM23" s="1">
        <f t="shared" si="17"/>
        <v>0</v>
      </c>
    </row>
    <row r="24" spans="1:39" x14ac:dyDescent="0.3">
      <c r="A24" s="12">
        <v>22</v>
      </c>
      <c r="B24" s="12" t="s">
        <v>26</v>
      </c>
      <c r="C24" s="13" t="s">
        <v>85</v>
      </c>
      <c r="D24" s="13" t="s">
        <v>85</v>
      </c>
      <c r="E24" s="14" t="s">
        <v>86</v>
      </c>
      <c r="F24" s="15">
        <v>0</v>
      </c>
      <c r="G24" s="16">
        <f t="shared" si="15"/>
        <v>0</v>
      </c>
      <c r="H24" s="15"/>
      <c r="I24" s="15">
        <f t="shared" si="1"/>
        <v>0</v>
      </c>
      <c r="J24" s="15"/>
      <c r="K24" s="15">
        <f t="shared" si="16"/>
        <v>0</v>
      </c>
      <c r="L24" s="15"/>
      <c r="M24" s="15">
        <f t="shared" si="2"/>
        <v>0</v>
      </c>
      <c r="N24" s="15"/>
      <c r="O24" s="15">
        <f t="shared" si="3"/>
        <v>0</v>
      </c>
      <c r="P24" s="15"/>
      <c r="Q24" s="15">
        <f t="shared" si="4"/>
        <v>0</v>
      </c>
      <c r="R24" s="15"/>
      <c r="S24" s="15">
        <f t="shared" si="5"/>
        <v>0</v>
      </c>
      <c r="T24" s="15"/>
      <c r="U24" s="15">
        <f t="shared" si="6"/>
        <v>0</v>
      </c>
      <c r="V24" s="15">
        <f t="shared" si="7"/>
        <v>0</v>
      </c>
      <c r="W24" s="17"/>
      <c r="X24" s="17"/>
      <c r="Y24" s="18">
        <v>0.08</v>
      </c>
      <c r="Z24" s="1">
        <f t="shared" si="8"/>
        <v>0</v>
      </c>
      <c r="AA24" s="21"/>
      <c r="AC24" s="21"/>
      <c r="AE24" s="19"/>
      <c r="AF24" s="20">
        <f>SUMIF('[1]G-Chart'!G:G,[1]Capacity!D24,'[1]G-Chart'!L:L)</f>
        <v>0</v>
      </c>
      <c r="AG24" s="2">
        <f t="shared" si="9"/>
        <v>0</v>
      </c>
      <c r="AH24" s="2">
        <f t="shared" si="10"/>
        <v>0</v>
      </c>
      <c r="AI24" s="2">
        <f t="shared" si="11"/>
        <v>0</v>
      </c>
      <c r="AJ24" s="1">
        <f t="shared" si="12"/>
        <v>0</v>
      </c>
      <c r="AK24" s="1">
        <f t="shared" si="13"/>
        <v>0</v>
      </c>
      <c r="AL24" s="1">
        <f t="shared" si="14"/>
        <v>0</v>
      </c>
      <c r="AM24" s="1">
        <f t="shared" si="17"/>
        <v>0</v>
      </c>
    </row>
    <row r="25" spans="1:39" x14ac:dyDescent="0.3">
      <c r="A25" s="12">
        <v>23</v>
      </c>
      <c r="B25" s="12" t="s">
        <v>26</v>
      </c>
      <c r="C25" s="13" t="s">
        <v>87</v>
      </c>
      <c r="D25" s="13" t="s">
        <v>87</v>
      </c>
      <c r="E25" s="14" t="s">
        <v>88</v>
      </c>
      <c r="F25" s="15">
        <v>0</v>
      </c>
      <c r="G25" s="16">
        <f t="shared" si="15"/>
        <v>4</v>
      </c>
      <c r="H25" s="15"/>
      <c r="I25" s="15">
        <f t="shared" si="1"/>
        <v>0</v>
      </c>
      <c r="J25" s="15"/>
      <c r="K25" s="15">
        <f t="shared" si="16"/>
        <v>0</v>
      </c>
      <c r="L25" s="15"/>
      <c r="M25" s="15">
        <f t="shared" si="2"/>
        <v>0</v>
      </c>
      <c r="N25" s="15">
        <v>4</v>
      </c>
      <c r="O25" s="15">
        <f t="shared" si="3"/>
        <v>0</v>
      </c>
      <c r="P25" s="15"/>
      <c r="Q25" s="15">
        <f t="shared" si="4"/>
        <v>0</v>
      </c>
      <c r="R25" s="15"/>
      <c r="S25" s="15">
        <f t="shared" si="5"/>
        <v>0</v>
      </c>
      <c r="T25" s="15"/>
      <c r="U25" s="15">
        <f t="shared" si="6"/>
        <v>0</v>
      </c>
      <c r="V25" s="15">
        <f t="shared" si="7"/>
        <v>0</v>
      </c>
      <c r="W25" s="17"/>
      <c r="X25" s="17"/>
      <c r="Y25" s="18">
        <v>6.2E-2</v>
      </c>
      <c r="Z25" s="1">
        <f t="shared" si="8"/>
        <v>0</v>
      </c>
      <c r="AA25" s="21"/>
      <c r="AC25" s="21"/>
      <c r="AE25" s="19"/>
      <c r="AF25" s="20">
        <f>SUMIF('[1]G-Chart'!G:G,[1]Capacity!D25,'[1]G-Chart'!L:L)</f>
        <v>0</v>
      </c>
      <c r="AG25" s="2">
        <f t="shared" si="9"/>
        <v>0</v>
      </c>
      <c r="AH25" s="2">
        <f t="shared" si="10"/>
        <v>0</v>
      </c>
      <c r="AI25" s="2">
        <f t="shared" si="11"/>
        <v>0</v>
      </c>
      <c r="AJ25" s="1">
        <f t="shared" si="12"/>
        <v>0</v>
      </c>
      <c r="AK25" s="1">
        <f t="shared" si="13"/>
        <v>0</v>
      </c>
      <c r="AL25" s="1">
        <f t="shared" si="14"/>
        <v>0</v>
      </c>
      <c r="AM25" s="1">
        <f t="shared" si="17"/>
        <v>0</v>
      </c>
    </row>
    <row r="26" spans="1:39" x14ac:dyDescent="0.3">
      <c r="A26" s="12">
        <v>24</v>
      </c>
      <c r="B26" s="12" t="s">
        <v>26</v>
      </c>
      <c r="C26" s="13" t="s">
        <v>89</v>
      </c>
      <c r="D26" s="13" t="s">
        <v>89</v>
      </c>
      <c r="E26" s="14" t="s">
        <v>90</v>
      </c>
      <c r="F26" s="15">
        <v>0</v>
      </c>
      <c r="G26" s="16">
        <f t="shared" si="15"/>
        <v>3</v>
      </c>
      <c r="H26" s="15"/>
      <c r="I26" s="15">
        <f t="shared" si="1"/>
        <v>0</v>
      </c>
      <c r="J26" s="15">
        <v>2</v>
      </c>
      <c r="K26" s="15">
        <f t="shared" si="16"/>
        <v>0</v>
      </c>
      <c r="L26" s="15">
        <v>1</v>
      </c>
      <c r="M26" s="15">
        <f t="shared" si="2"/>
        <v>0</v>
      </c>
      <c r="N26" s="15"/>
      <c r="O26" s="15">
        <f t="shared" si="3"/>
        <v>0</v>
      </c>
      <c r="P26" s="15"/>
      <c r="Q26" s="15">
        <f t="shared" si="4"/>
        <v>0</v>
      </c>
      <c r="R26" s="15"/>
      <c r="S26" s="15">
        <f t="shared" si="5"/>
        <v>0</v>
      </c>
      <c r="T26" s="15"/>
      <c r="U26" s="15">
        <f t="shared" si="6"/>
        <v>0</v>
      </c>
      <c r="V26" s="15">
        <f t="shared" si="7"/>
        <v>0</v>
      </c>
      <c r="W26" s="17"/>
      <c r="X26" s="17"/>
      <c r="Y26" s="18">
        <v>0.13300000000000001</v>
      </c>
      <c r="Z26" s="1">
        <f t="shared" si="8"/>
        <v>0</v>
      </c>
      <c r="AA26" s="21"/>
      <c r="AC26" s="21"/>
      <c r="AE26" s="19"/>
      <c r="AF26" s="20">
        <f>SUMIF('[1]G-Chart'!G:G,[1]Capacity!D26,'[1]G-Chart'!L:L)</f>
        <v>0</v>
      </c>
      <c r="AG26" s="2">
        <f t="shared" si="9"/>
        <v>0</v>
      </c>
      <c r="AH26" s="2">
        <f t="shared" si="10"/>
        <v>0</v>
      </c>
      <c r="AI26" s="2">
        <f t="shared" si="11"/>
        <v>0</v>
      </c>
      <c r="AJ26" s="1">
        <f t="shared" si="12"/>
        <v>0</v>
      </c>
      <c r="AK26" s="1">
        <f t="shared" si="13"/>
        <v>0</v>
      </c>
      <c r="AL26" s="1">
        <f t="shared" si="14"/>
        <v>0</v>
      </c>
      <c r="AM26" s="1">
        <f t="shared" si="17"/>
        <v>0</v>
      </c>
    </row>
    <row r="27" spans="1:39" x14ac:dyDescent="0.3">
      <c r="A27" s="12">
        <v>25</v>
      </c>
      <c r="B27" s="12" t="s">
        <v>26</v>
      </c>
      <c r="C27" s="13" t="s">
        <v>91</v>
      </c>
      <c r="D27" s="13" t="s">
        <v>91</v>
      </c>
      <c r="E27" s="14" t="s">
        <v>92</v>
      </c>
      <c r="F27" s="15">
        <v>0</v>
      </c>
      <c r="G27" s="16">
        <f t="shared" si="15"/>
        <v>4</v>
      </c>
      <c r="H27" s="15"/>
      <c r="I27" s="15">
        <f t="shared" si="1"/>
        <v>0</v>
      </c>
      <c r="J27" s="15"/>
      <c r="K27" s="15">
        <f t="shared" si="16"/>
        <v>0</v>
      </c>
      <c r="L27" s="15"/>
      <c r="M27" s="15">
        <f t="shared" si="2"/>
        <v>0</v>
      </c>
      <c r="N27" s="15">
        <v>3</v>
      </c>
      <c r="O27" s="15">
        <f t="shared" si="3"/>
        <v>0</v>
      </c>
      <c r="P27" s="15">
        <v>1</v>
      </c>
      <c r="Q27" s="15">
        <f t="shared" si="4"/>
        <v>0</v>
      </c>
      <c r="R27" s="15"/>
      <c r="S27" s="15">
        <f t="shared" si="5"/>
        <v>0</v>
      </c>
      <c r="T27" s="15"/>
      <c r="U27" s="15">
        <f t="shared" si="6"/>
        <v>0</v>
      </c>
      <c r="V27" s="15">
        <f t="shared" si="7"/>
        <v>0</v>
      </c>
      <c r="W27" s="17"/>
      <c r="X27" s="17"/>
      <c r="Y27" s="18">
        <v>4.3999999999999997E-2</v>
      </c>
      <c r="Z27" s="1">
        <f t="shared" si="8"/>
        <v>0</v>
      </c>
      <c r="AA27" s="21"/>
      <c r="AC27" s="21"/>
      <c r="AE27" s="19"/>
      <c r="AF27" s="20">
        <f>SUMIF('[1]G-Chart'!G:G,[1]Capacity!D27,'[1]G-Chart'!L:L)</f>
        <v>27</v>
      </c>
      <c r="AG27" s="2">
        <f t="shared" si="9"/>
        <v>0</v>
      </c>
      <c r="AH27" s="2">
        <f t="shared" si="10"/>
        <v>0</v>
      </c>
      <c r="AI27" s="2">
        <f t="shared" si="11"/>
        <v>81</v>
      </c>
      <c r="AJ27" s="1">
        <f t="shared" si="12"/>
        <v>27</v>
      </c>
      <c r="AK27" s="1">
        <f t="shared" si="13"/>
        <v>0</v>
      </c>
      <c r="AL27" s="1">
        <f t="shared" si="14"/>
        <v>0</v>
      </c>
      <c r="AM27" s="1">
        <f t="shared" si="17"/>
        <v>108</v>
      </c>
    </row>
    <row r="28" spans="1:39" x14ac:dyDescent="0.3">
      <c r="A28" s="12">
        <v>26</v>
      </c>
      <c r="B28" s="12" t="s">
        <v>26</v>
      </c>
      <c r="C28" s="13" t="s">
        <v>93</v>
      </c>
      <c r="D28" s="13" t="s">
        <v>93</v>
      </c>
      <c r="E28" s="14"/>
      <c r="F28" s="15">
        <v>0</v>
      </c>
      <c r="G28" s="16">
        <f t="shared" si="15"/>
        <v>0</v>
      </c>
      <c r="H28" s="15"/>
      <c r="I28" s="15">
        <f t="shared" si="1"/>
        <v>0</v>
      </c>
      <c r="J28" s="15"/>
      <c r="K28" s="15">
        <f t="shared" si="16"/>
        <v>0</v>
      </c>
      <c r="L28" s="15"/>
      <c r="M28" s="15">
        <f t="shared" si="2"/>
        <v>0</v>
      </c>
      <c r="N28" s="15"/>
      <c r="O28" s="15">
        <f t="shared" si="3"/>
        <v>0</v>
      </c>
      <c r="P28" s="15"/>
      <c r="Q28" s="15">
        <f t="shared" si="4"/>
        <v>0</v>
      </c>
      <c r="R28" s="15"/>
      <c r="S28" s="15">
        <f t="shared" si="5"/>
        <v>0</v>
      </c>
      <c r="T28" s="15"/>
      <c r="U28" s="15">
        <f t="shared" si="6"/>
        <v>0</v>
      </c>
      <c r="V28" s="15">
        <f t="shared" si="7"/>
        <v>0</v>
      </c>
      <c r="W28" s="17"/>
      <c r="X28" s="17"/>
      <c r="Y28" s="18"/>
      <c r="Z28" s="1">
        <f t="shared" si="8"/>
        <v>0</v>
      </c>
      <c r="AA28" s="21"/>
      <c r="AC28" s="21"/>
      <c r="AE28" s="19"/>
      <c r="AF28" s="20">
        <f>SUMIF('[1]G-Chart'!G:G,[1]Capacity!D28,'[1]G-Chart'!L:L)</f>
        <v>0</v>
      </c>
      <c r="AG28" s="2">
        <f t="shared" si="9"/>
        <v>0</v>
      </c>
      <c r="AH28" s="2">
        <f t="shared" si="10"/>
        <v>0</v>
      </c>
      <c r="AI28" s="2">
        <f t="shared" si="11"/>
        <v>0</v>
      </c>
      <c r="AJ28" s="1">
        <f t="shared" si="12"/>
        <v>0</v>
      </c>
      <c r="AK28" s="1">
        <f t="shared" si="13"/>
        <v>0</v>
      </c>
      <c r="AL28" s="1">
        <f t="shared" si="14"/>
        <v>0</v>
      </c>
      <c r="AM28" s="1">
        <f t="shared" si="17"/>
        <v>0</v>
      </c>
    </row>
    <row r="29" spans="1:39" x14ac:dyDescent="0.3">
      <c r="A29" s="12">
        <v>27</v>
      </c>
      <c r="B29" s="12" t="s">
        <v>26</v>
      </c>
      <c r="C29" s="13" t="s">
        <v>94</v>
      </c>
      <c r="D29" s="13" t="s">
        <v>95</v>
      </c>
      <c r="E29" s="14"/>
      <c r="F29" s="15">
        <v>0</v>
      </c>
      <c r="G29" s="16">
        <f t="shared" si="15"/>
        <v>0</v>
      </c>
      <c r="H29" s="15"/>
      <c r="I29" s="15">
        <f t="shared" si="1"/>
        <v>0</v>
      </c>
      <c r="J29" s="15"/>
      <c r="K29" s="15">
        <f t="shared" si="16"/>
        <v>0</v>
      </c>
      <c r="L29" s="15"/>
      <c r="M29" s="15">
        <f t="shared" si="2"/>
        <v>0</v>
      </c>
      <c r="N29" s="15"/>
      <c r="O29" s="15">
        <f t="shared" si="3"/>
        <v>0</v>
      </c>
      <c r="P29" s="15"/>
      <c r="Q29" s="15">
        <f t="shared" si="4"/>
        <v>0</v>
      </c>
      <c r="R29" s="15"/>
      <c r="S29" s="15">
        <f t="shared" si="5"/>
        <v>0</v>
      </c>
      <c r="T29" s="15"/>
      <c r="U29" s="15">
        <f t="shared" si="6"/>
        <v>0</v>
      </c>
      <c r="V29" s="15">
        <f t="shared" si="7"/>
        <v>0</v>
      </c>
      <c r="W29" s="17"/>
      <c r="X29" s="17"/>
      <c r="Y29" s="18"/>
      <c r="Z29" s="1">
        <f t="shared" si="8"/>
        <v>0</v>
      </c>
      <c r="AA29" s="21"/>
      <c r="AC29" s="21"/>
      <c r="AE29" s="19"/>
      <c r="AF29" s="20">
        <f>SUMIF('[1]G-Chart'!G:G,[1]Capacity!D29,'[1]G-Chart'!L:L)</f>
        <v>0</v>
      </c>
      <c r="AG29" s="2">
        <f t="shared" si="9"/>
        <v>0</v>
      </c>
      <c r="AH29" s="2">
        <f t="shared" si="10"/>
        <v>0</v>
      </c>
      <c r="AI29" s="2">
        <f t="shared" si="11"/>
        <v>0</v>
      </c>
      <c r="AJ29" s="1">
        <f t="shared" si="12"/>
        <v>0</v>
      </c>
      <c r="AK29" s="1">
        <f t="shared" si="13"/>
        <v>0</v>
      </c>
      <c r="AL29" s="1">
        <f t="shared" si="14"/>
        <v>0</v>
      </c>
      <c r="AM29" s="1">
        <f t="shared" si="17"/>
        <v>0</v>
      </c>
    </row>
    <row r="30" spans="1:39" x14ac:dyDescent="0.3">
      <c r="A30" s="12">
        <v>28</v>
      </c>
      <c r="B30" s="12" t="s">
        <v>96</v>
      </c>
      <c r="C30" s="13" t="s">
        <v>97</v>
      </c>
      <c r="D30" s="23" t="s">
        <v>98</v>
      </c>
      <c r="E30" s="14" t="s">
        <v>99</v>
      </c>
      <c r="F30" s="15">
        <v>0</v>
      </c>
      <c r="G30" s="16">
        <f t="shared" si="15"/>
        <v>2</v>
      </c>
      <c r="H30" s="15"/>
      <c r="I30" s="15">
        <f t="shared" si="1"/>
        <v>0</v>
      </c>
      <c r="J30" s="15"/>
      <c r="K30" s="15">
        <f t="shared" si="16"/>
        <v>0</v>
      </c>
      <c r="L30" s="15"/>
      <c r="M30" s="15">
        <f t="shared" si="2"/>
        <v>0</v>
      </c>
      <c r="N30" s="15"/>
      <c r="O30" s="15">
        <f t="shared" si="3"/>
        <v>0</v>
      </c>
      <c r="P30" s="15">
        <v>0.5</v>
      </c>
      <c r="Q30" s="15">
        <f t="shared" si="4"/>
        <v>0</v>
      </c>
      <c r="R30" s="15"/>
      <c r="S30" s="15">
        <f t="shared" si="5"/>
        <v>0</v>
      </c>
      <c r="T30" s="15">
        <v>1.5</v>
      </c>
      <c r="U30" s="15">
        <f t="shared" si="6"/>
        <v>0</v>
      </c>
      <c r="V30" s="15">
        <f t="shared" si="7"/>
        <v>0</v>
      </c>
      <c r="W30" s="17"/>
      <c r="X30" s="17"/>
      <c r="Y30" s="18">
        <v>2.4E-2</v>
      </c>
      <c r="Z30" s="1">
        <f t="shared" si="8"/>
        <v>0</v>
      </c>
      <c r="AA30" s="21"/>
      <c r="AC30" s="21">
        <v>500</v>
      </c>
      <c r="AE30" s="19"/>
      <c r="AF30" s="20">
        <f>SUMIF('[1]G-Chart'!G:G,[1]Capacity!D30,'[1]G-Chart'!L:L)</f>
        <v>0</v>
      </c>
      <c r="AG30" s="2">
        <f t="shared" si="9"/>
        <v>0</v>
      </c>
      <c r="AH30" s="2">
        <f t="shared" si="10"/>
        <v>0</v>
      </c>
      <c r="AI30" s="2">
        <f t="shared" si="11"/>
        <v>0</v>
      </c>
      <c r="AJ30" s="1">
        <f t="shared" si="12"/>
        <v>0</v>
      </c>
      <c r="AK30" s="1">
        <f t="shared" si="13"/>
        <v>0</v>
      </c>
      <c r="AL30" s="1">
        <f t="shared" si="14"/>
        <v>0</v>
      </c>
      <c r="AM30" s="1">
        <f t="shared" si="17"/>
        <v>0</v>
      </c>
    </row>
    <row r="31" spans="1:39" x14ac:dyDescent="0.3">
      <c r="A31" s="12">
        <v>29</v>
      </c>
      <c r="B31" s="12" t="s">
        <v>96</v>
      </c>
      <c r="C31" s="13" t="s">
        <v>100</v>
      </c>
      <c r="D31" s="13" t="s">
        <v>101</v>
      </c>
      <c r="E31" s="14" t="s">
        <v>102</v>
      </c>
      <c r="F31" s="15">
        <v>0</v>
      </c>
      <c r="G31" s="16">
        <f t="shared" si="15"/>
        <v>1.5</v>
      </c>
      <c r="H31" s="15"/>
      <c r="I31" s="15">
        <f t="shared" si="1"/>
        <v>0</v>
      </c>
      <c r="J31" s="15"/>
      <c r="K31" s="15">
        <f t="shared" si="16"/>
        <v>0</v>
      </c>
      <c r="L31" s="15"/>
      <c r="M31" s="15">
        <f t="shared" si="2"/>
        <v>0</v>
      </c>
      <c r="N31" s="15"/>
      <c r="O31" s="15">
        <f t="shared" si="3"/>
        <v>0</v>
      </c>
      <c r="P31" s="15"/>
      <c r="Q31" s="15">
        <f t="shared" si="4"/>
        <v>0</v>
      </c>
      <c r="R31" s="15"/>
      <c r="S31" s="15">
        <f t="shared" si="5"/>
        <v>0</v>
      </c>
      <c r="T31" s="15">
        <v>1.5</v>
      </c>
      <c r="U31" s="15">
        <f t="shared" si="6"/>
        <v>0</v>
      </c>
      <c r="V31" s="15">
        <f t="shared" si="7"/>
        <v>0</v>
      </c>
      <c r="W31" s="17"/>
      <c r="X31" s="17"/>
      <c r="Y31" s="18">
        <v>8.9999999999999993E-3</v>
      </c>
      <c r="Z31" s="1">
        <f t="shared" si="8"/>
        <v>0</v>
      </c>
      <c r="AA31" s="21"/>
      <c r="AC31" s="21">
        <v>800</v>
      </c>
      <c r="AE31" s="19"/>
      <c r="AF31" s="20">
        <f>SUMIF('[1]G-Chart'!G:G,[1]Capacity!D31,'[1]G-Chart'!L:L)</f>
        <v>5678</v>
      </c>
      <c r="AG31" s="2">
        <f t="shared" si="9"/>
        <v>0</v>
      </c>
      <c r="AH31" s="2">
        <f t="shared" si="10"/>
        <v>0</v>
      </c>
      <c r="AI31" s="2">
        <f t="shared" si="11"/>
        <v>0</v>
      </c>
      <c r="AJ31" s="1">
        <f t="shared" si="12"/>
        <v>0</v>
      </c>
      <c r="AK31" s="1">
        <f t="shared" si="13"/>
        <v>0</v>
      </c>
      <c r="AL31" s="1">
        <f t="shared" si="14"/>
        <v>8517</v>
      </c>
      <c r="AM31" s="1">
        <f>AF31*G31</f>
        <v>8517</v>
      </c>
    </row>
    <row r="32" spans="1:39" x14ac:dyDescent="0.3">
      <c r="A32" s="12">
        <v>30</v>
      </c>
      <c r="B32" s="12" t="s">
        <v>96</v>
      </c>
      <c r="C32" s="13" t="s">
        <v>103</v>
      </c>
      <c r="D32" s="13" t="s">
        <v>104</v>
      </c>
      <c r="E32" s="14" t="s">
        <v>105</v>
      </c>
      <c r="F32" s="15">
        <v>0</v>
      </c>
      <c r="G32" s="16">
        <f t="shared" si="15"/>
        <v>2</v>
      </c>
      <c r="H32" s="15"/>
      <c r="I32" s="15">
        <f t="shared" si="1"/>
        <v>0</v>
      </c>
      <c r="J32" s="15"/>
      <c r="K32" s="15">
        <f t="shared" si="16"/>
        <v>0</v>
      </c>
      <c r="L32" s="15"/>
      <c r="M32" s="15">
        <f t="shared" si="2"/>
        <v>0</v>
      </c>
      <c r="N32" s="15">
        <v>1</v>
      </c>
      <c r="O32" s="15">
        <f t="shared" si="3"/>
        <v>0</v>
      </c>
      <c r="P32" s="15">
        <v>1</v>
      </c>
      <c r="Q32" s="15">
        <f t="shared" si="4"/>
        <v>0</v>
      </c>
      <c r="R32" s="15"/>
      <c r="S32" s="15">
        <f t="shared" si="5"/>
        <v>0</v>
      </c>
      <c r="T32" s="15"/>
      <c r="U32" s="15">
        <f t="shared" si="6"/>
        <v>0</v>
      </c>
      <c r="V32" s="15">
        <f t="shared" si="7"/>
        <v>0</v>
      </c>
      <c r="W32" s="17"/>
      <c r="X32" s="17"/>
      <c r="Y32" s="18">
        <v>0.11799999999999999</v>
      </c>
      <c r="Z32" s="1">
        <f t="shared" si="8"/>
        <v>0</v>
      </c>
      <c r="AA32" s="21"/>
      <c r="AC32" s="21"/>
      <c r="AE32" s="19"/>
      <c r="AF32" s="20">
        <f>SUMIF('[1]G-Chart'!G:G,[1]Capacity!D32,'[1]G-Chart'!L:L)</f>
        <v>0</v>
      </c>
      <c r="AG32" s="2">
        <f t="shared" si="9"/>
        <v>0</v>
      </c>
      <c r="AH32" s="2">
        <f t="shared" si="10"/>
        <v>0</v>
      </c>
      <c r="AI32" s="2">
        <f>AF32*N32</f>
        <v>0</v>
      </c>
      <c r="AJ32" s="1">
        <f t="shared" si="12"/>
        <v>0</v>
      </c>
      <c r="AK32" s="1">
        <f t="shared" si="13"/>
        <v>0</v>
      </c>
      <c r="AL32" s="1">
        <f t="shared" si="14"/>
        <v>0</v>
      </c>
      <c r="AM32" s="1">
        <f t="shared" si="17"/>
        <v>0</v>
      </c>
    </row>
    <row r="33" spans="1:39" x14ac:dyDescent="0.3">
      <c r="A33" s="12">
        <v>31</v>
      </c>
      <c r="B33" s="12" t="s">
        <v>96</v>
      </c>
      <c r="C33" s="13" t="s">
        <v>106</v>
      </c>
      <c r="D33" s="23" t="s">
        <v>107</v>
      </c>
      <c r="E33" s="14" t="s">
        <v>108</v>
      </c>
      <c r="F33" s="15">
        <v>0</v>
      </c>
      <c r="G33" s="16">
        <f t="shared" si="15"/>
        <v>3</v>
      </c>
      <c r="H33" s="15"/>
      <c r="I33" s="15">
        <f t="shared" si="1"/>
        <v>0</v>
      </c>
      <c r="J33" s="15">
        <v>1</v>
      </c>
      <c r="K33" s="15">
        <f t="shared" si="16"/>
        <v>0</v>
      </c>
      <c r="L33" s="15">
        <v>2</v>
      </c>
      <c r="M33" s="15">
        <f t="shared" si="2"/>
        <v>0</v>
      </c>
      <c r="N33" s="15"/>
      <c r="O33" s="15">
        <f t="shared" si="3"/>
        <v>0</v>
      </c>
      <c r="P33" s="15"/>
      <c r="Q33" s="15">
        <f t="shared" si="4"/>
        <v>0</v>
      </c>
      <c r="R33" s="15"/>
      <c r="S33" s="15">
        <f t="shared" si="5"/>
        <v>0</v>
      </c>
      <c r="T33" s="15"/>
      <c r="U33" s="15">
        <f t="shared" si="6"/>
        <v>0</v>
      </c>
      <c r="V33" s="15">
        <f t="shared" si="7"/>
        <v>0</v>
      </c>
      <c r="W33" s="17"/>
      <c r="X33" s="17"/>
      <c r="Y33" s="18">
        <v>0.215</v>
      </c>
      <c r="Z33" s="1">
        <f t="shared" si="8"/>
        <v>0</v>
      </c>
      <c r="AA33" s="21"/>
      <c r="AC33" s="21"/>
      <c r="AE33" s="19"/>
      <c r="AF33" s="20">
        <f>SUMIF('[1]G-Chart'!G:G,[1]Capacity!D33,'[1]G-Chart'!L:L)</f>
        <v>0</v>
      </c>
      <c r="AG33" s="2">
        <f t="shared" si="9"/>
        <v>0</v>
      </c>
      <c r="AH33" s="2">
        <f t="shared" si="10"/>
        <v>0</v>
      </c>
      <c r="AI33" s="2">
        <f t="shared" si="11"/>
        <v>0</v>
      </c>
      <c r="AJ33" s="1">
        <f t="shared" si="12"/>
        <v>0</v>
      </c>
      <c r="AK33" s="1">
        <f t="shared" si="13"/>
        <v>0</v>
      </c>
      <c r="AL33" s="1">
        <f t="shared" si="14"/>
        <v>0</v>
      </c>
      <c r="AM33" s="1">
        <f t="shared" si="17"/>
        <v>0</v>
      </c>
    </row>
    <row r="34" spans="1:39" x14ac:dyDescent="0.3">
      <c r="A34" s="12">
        <v>32</v>
      </c>
      <c r="B34" s="12" t="s">
        <v>109</v>
      </c>
      <c r="C34" s="13" t="s">
        <v>110</v>
      </c>
      <c r="D34" s="13" t="s">
        <v>111</v>
      </c>
      <c r="E34" s="14" t="s">
        <v>112</v>
      </c>
      <c r="F34" s="15">
        <v>0</v>
      </c>
      <c r="G34" s="16">
        <f t="shared" si="15"/>
        <v>1</v>
      </c>
      <c r="H34" s="15"/>
      <c r="I34" s="15">
        <f t="shared" si="1"/>
        <v>0</v>
      </c>
      <c r="J34" s="15">
        <v>1</v>
      </c>
      <c r="K34" s="15">
        <f t="shared" si="16"/>
        <v>0</v>
      </c>
      <c r="L34" s="15"/>
      <c r="M34" s="15">
        <f t="shared" si="2"/>
        <v>0</v>
      </c>
      <c r="N34" s="15"/>
      <c r="O34" s="15">
        <f t="shared" si="3"/>
        <v>0</v>
      </c>
      <c r="P34" s="15"/>
      <c r="Q34" s="15">
        <f t="shared" si="4"/>
        <v>0</v>
      </c>
      <c r="R34" s="15"/>
      <c r="S34" s="15">
        <f t="shared" si="5"/>
        <v>0</v>
      </c>
      <c r="T34" s="15"/>
      <c r="U34" s="15">
        <f t="shared" si="6"/>
        <v>0</v>
      </c>
      <c r="V34" s="15">
        <f t="shared" si="7"/>
        <v>0</v>
      </c>
      <c r="W34" s="17"/>
      <c r="X34" s="17"/>
      <c r="Y34" s="18">
        <v>0.1</v>
      </c>
      <c r="Z34" s="1">
        <f t="shared" si="8"/>
        <v>0</v>
      </c>
      <c r="AA34" s="21"/>
      <c r="AC34" s="21"/>
      <c r="AE34" s="19"/>
      <c r="AF34" s="20">
        <f>SUMIF('[1]G-Chart'!G:G,[1]Capacity!D34,'[1]G-Chart'!L:L)</f>
        <v>-80</v>
      </c>
      <c r="AG34" s="2">
        <v>0</v>
      </c>
      <c r="AH34" s="2">
        <f t="shared" si="10"/>
        <v>0</v>
      </c>
      <c r="AI34" s="2">
        <f t="shared" si="11"/>
        <v>0</v>
      </c>
      <c r="AJ34" s="1">
        <f t="shared" si="12"/>
        <v>0</v>
      </c>
      <c r="AK34" s="1">
        <f t="shared" si="13"/>
        <v>0</v>
      </c>
      <c r="AL34" s="1">
        <f t="shared" si="14"/>
        <v>0</v>
      </c>
      <c r="AM34" s="1">
        <f t="shared" si="17"/>
        <v>-80</v>
      </c>
    </row>
    <row r="35" spans="1:39" x14ac:dyDescent="0.3">
      <c r="A35" s="12">
        <v>33</v>
      </c>
      <c r="B35" s="12" t="s">
        <v>109</v>
      </c>
      <c r="C35" s="13" t="s">
        <v>113</v>
      </c>
      <c r="D35" s="13" t="s">
        <v>114</v>
      </c>
      <c r="E35" s="14"/>
      <c r="F35" s="15">
        <v>0</v>
      </c>
      <c r="G35" s="16">
        <f t="shared" si="15"/>
        <v>0</v>
      </c>
      <c r="H35" s="15"/>
      <c r="I35" s="15">
        <f t="shared" si="1"/>
        <v>0</v>
      </c>
      <c r="J35" s="15"/>
      <c r="K35" s="15">
        <f t="shared" si="16"/>
        <v>0</v>
      </c>
      <c r="L35" s="15"/>
      <c r="M35" s="15">
        <f t="shared" si="2"/>
        <v>0</v>
      </c>
      <c r="N35" s="15"/>
      <c r="O35" s="15">
        <f t="shared" si="3"/>
        <v>0</v>
      </c>
      <c r="P35" s="15"/>
      <c r="Q35" s="15">
        <f t="shared" si="4"/>
        <v>0</v>
      </c>
      <c r="R35" s="15"/>
      <c r="S35" s="15">
        <f t="shared" si="5"/>
        <v>0</v>
      </c>
      <c r="T35" s="15"/>
      <c r="U35" s="15">
        <f t="shared" si="6"/>
        <v>0</v>
      </c>
      <c r="V35" s="15">
        <f t="shared" si="7"/>
        <v>0</v>
      </c>
      <c r="W35" s="17"/>
      <c r="X35" s="17"/>
      <c r="Y35" s="18"/>
      <c r="Z35" s="1">
        <f t="shared" si="8"/>
        <v>0</v>
      </c>
      <c r="AA35" s="21"/>
      <c r="AC35" s="21"/>
      <c r="AE35" s="19"/>
      <c r="AF35" s="20">
        <f>SUMIF('[1]G-Chart'!G:G,[1]Capacity!D35,'[1]G-Chart'!L:L)</f>
        <v>-80</v>
      </c>
      <c r="AG35" s="2">
        <f t="shared" si="9"/>
        <v>0</v>
      </c>
      <c r="AH35" s="2">
        <f t="shared" si="10"/>
        <v>0</v>
      </c>
      <c r="AI35" s="2">
        <f t="shared" si="11"/>
        <v>0</v>
      </c>
      <c r="AJ35" s="1">
        <f t="shared" si="12"/>
        <v>0</v>
      </c>
      <c r="AK35" s="1">
        <f t="shared" si="13"/>
        <v>0</v>
      </c>
      <c r="AL35" s="1">
        <f t="shared" si="14"/>
        <v>0</v>
      </c>
      <c r="AM35" s="1">
        <f t="shared" si="17"/>
        <v>0</v>
      </c>
    </row>
    <row r="36" spans="1:39" x14ac:dyDescent="0.3">
      <c r="A36" s="12">
        <v>34</v>
      </c>
      <c r="B36" s="12" t="s">
        <v>109</v>
      </c>
      <c r="C36" s="13" t="s">
        <v>115</v>
      </c>
      <c r="D36" s="23" t="s">
        <v>116</v>
      </c>
      <c r="E36" s="14" t="s">
        <v>117</v>
      </c>
      <c r="F36" s="15">
        <v>0</v>
      </c>
      <c r="G36" s="16">
        <f t="shared" si="15"/>
        <v>2.5</v>
      </c>
      <c r="H36" s="15"/>
      <c r="I36" s="15">
        <f t="shared" si="1"/>
        <v>0</v>
      </c>
      <c r="J36" s="15"/>
      <c r="K36" s="15">
        <f t="shared" si="16"/>
        <v>0</v>
      </c>
      <c r="L36" s="15">
        <v>1.5</v>
      </c>
      <c r="M36" s="15">
        <f t="shared" si="2"/>
        <v>0</v>
      </c>
      <c r="N36" s="15">
        <v>1</v>
      </c>
      <c r="O36" s="15">
        <f t="shared" si="3"/>
        <v>0</v>
      </c>
      <c r="P36" s="15"/>
      <c r="Q36" s="15">
        <f t="shared" si="4"/>
        <v>0</v>
      </c>
      <c r="R36" s="15"/>
      <c r="S36" s="15">
        <f t="shared" si="5"/>
        <v>0</v>
      </c>
      <c r="T36" s="15"/>
      <c r="U36" s="15">
        <f t="shared" si="6"/>
        <v>0</v>
      </c>
      <c r="V36" s="15">
        <f t="shared" si="7"/>
        <v>0</v>
      </c>
      <c r="W36" s="17"/>
      <c r="X36" s="17"/>
      <c r="Y36" s="18">
        <v>0.10199999999999999</v>
      </c>
      <c r="Z36" s="1">
        <f t="shared" si="8"/>
        <v>0</v>
      </c>
      <c r="AA36" s="21"/>
      <c r="AC36" s="21"/>
      <c r="AE36" s="19"/>
      <c r="AF36" s="20">
        <f>SUMIF('[1]G-Chart'!G:G,[1]Capacity!D36,'[1]G-Chart'!L:L)</f>
        <v>-161</v>
      </c>
      <c r="AG36" s="2">
        <f t="shared" si="9"/>
        <v>0</v>
      </c>
      <c r="AH36" s="2">
        <v>0</v>
      </c>
      <c r="AI36" s="2">
        <v>0</v>
      </c>
      <c r="AJ36" s="1">
        <f t="shared" si="12"/>
        <v>0</v>
      </c>
      <c r="AK36" s="1">
        <f t="shared" si="13"/>
        <v>0</v>
      </c>
      <c r="AL36" s="1">
        <f t="shared" si="14"/>
        <v>0</v>
      </c>
      <c r="AM36" s="1">
        <f t="shared" si="17"/>
        <v>-402.5</v>
      </c>
    </row>
    <row r="37" spans="1:39" x14ac:dyDescent="0.3">
      <c r="A37" s="12">
        <v>35</v>
      </c>
      <c r="B37" s="12" t="s">
        <v>109</v>
      </c>
      <c r="C37" s="13" t="s">
        <v>118</v>
      </c>
      <c r="D37" s="23" t="s">
        <v>119</v>
      </c>
      <c r="E37" s="14" t="s">
        <v>120</v>
      </c>
      <c r="F37" s="15">
        <v>0</v>
      </c>
      <c r="G37" s="16">
        <f t="shared" si="15"/>
        <v>2.5</v>
      </c>
      <c r="H37" s="15"/>
      <c r="I37" s="15">
        <f t="shared" si="1"/>
        <v>0</v>
      </c>
      <c r="J37" s="15"/>
      <c r="K37" s="15">
        <f t="shared" si="16"/>
        <v>0</v>
      </c>
      <c r="L37" s="15">
        <v>1.5</v>
      </c>
      <c r="M37" s="15">
        <f t="shared" si="2"/>
        <v>0</v>
      </c>
      <c r="N37" s="15">
        <v>1</v>
      </c>
      <c r="O37" s="15">
        <f t="shared" si="3"/>
        <v>0</v>
      </c>
      <c r="P37" s="15"/>
      <c r="Q37" s="15">
        <f t="shared" si="4"/>
        <v>0</v>
      </c>
      <c r="R37" s="15"/>
      <c r="S37" s="15">
        <f t="shared" si="5"/>
        <v>0</v>
      </c>
      <c r="T37" s="15"/>
      <c r="U37" s="15">
        <f t="shared" si="6"/>
        <v>0</v>
      </c>
      <c r="V37" s="15">
        <f t="shared" si="7"/>
        <v>0</v>
      </c>
      <c r="W37" s="17"/>
      <c r="X37" s="17"/>
      <c r="Y37" s="18">
        <v>0.10199999999999999</v>
      </c>
      <c r="Z37" s="1">
        <f t="shared" si="8"/>
        <v>0</v>
      </c>
      <c r="AA37" s="21"/>
      <c r="AC37" s="21"/>
      <c r="AE37" s="19"/>
      <c r="AF37" s="20">
        <f>SUMIF('[1]G-Chart'!G:G,[1]Capacity!D37,'[1]G-Chart'!L:L)</f>
        <v>-149</v>
      </c>
      <c r="AG37" s="2">
        <f t="shared" si="9"/>
        <v>0</v>
      </c>
      <c r="AH37" s="2">
        <v>0</v>
      </c>
      <c r="AI37" s="2">
        <v>0</v>
      </c>
      <c r="AJ37" s="1">
        <f t="shared" si="12"/>
        <v>0</v>
      </c>
      <c r="AK37" s="1">
        <f t="shared" si="13"/>
        <v>0</v>
      </c>
      <c r="AL37" s="1">
        <f t="shared" si="14"/>
        <v>0</v>
      </c>
      <c r="AM37" s="1">
        <f t="shared" si="17"/>
        <v>-372.5</v>
      </c>
    </row>
    <row r="38" spans="1:39" x14ac:dyDescent="0.3">
      <c r="A38" s="12">
        <v>36</v>
      </c>
      <c r="B38" s="12" t="s">
        <v>109</v>
      </c>
      <c r="C38" s="13" t="s">
        <v>121</v>
      </c>
      <c r="D38" s="13" t="s">
        <v>122</v>
      </c>
      <c r="E38" s="14" t="s">
        <v>123</v>
      </c>
      <c r="F38" s="15">
        <v>0</v>
      </c>
      <c r="G38" s="16">
        <f t="shared" si="15"/>
        <v>0</v>
      </c>
      <c r="H38" s="15"/>
      <c r="I38" s="15">
        <f t="shared" si="1"/>
        <v>0</v>
      </c>
      <c r="J38" s="15"/>
      <c r="K38" s="15">
        <f t="shared" si="16"/>
        <v>0</v>
      </c>
      <c r="L38" s="15"/>
      <c r="M38" s="15">
        <f t="shared" si="2"/>
        <v>0</v>
      </c>
      <c r="N38" s="15"/>
      <c r="O38" s="15">
        <f t="shared" si="3"/>
        <v>0</v>
      </c>
      <c r="P38" s="15"/>
      <c r="Q38" s="15">
        <f t="shared" si="4"/>
        <v>0</v>
      </c>
      <c r="R38" s="15"/>
      <c r="S38" s="15">
        <f t="shared" si="5"/>
        <v>0</v>
      </c>
      <c r="T38" s="15"/>
      <c r="U38" s="15">
        <f t="shared" si="6"/>
        <v>0</v>
      </c>
      <c r="V38" s="15">
        <f t="shared" si="7"/>
        <v>0</v>
      </c>
      <c r="W38" s="17"/>
      <c r="X38" s="17"/>
      <c r="Y38" s="18">
        <v>0.57999999999999996</v>
      </c>
      <c r="Z38" s="1">
        <f t="shared" si="8"/>
        <v>0</v>
      </c>
      <c r="AA38" s="21"/>
      <c r="AC38" s="21"/>
      <c r="AE38" s="19"/>
      <c r="AF38" s="20">
        <f>SUMIF('[1]G-Chart'!G:G,[1]Capacity!D38,'[1]G-Chart'!L:L)</f>
        <v>0</v>
      </c>
      <c r="AG38" s="2">
        <f t="shared" si="9"/>
        <v>0</v>
      </c>
      <c r="AH38" s="2">
        <f t="shared" si="10"/>
        <v>0</v>
      </c>
      <c r="AI38" s="2">
        <f t="shared" si="11"/>
        <v>0</v>
      </c>
      <c r="AJ38" s="1">
        <f t="shared" si="12"/>
        <v>0</v>
      </c>
      <c r="AK38" s="1">
        <f t="shared" si="13"/>
        <v>0</v>
      </c>
      <c r="AL38" s="1">
        <f t="shared" si="14"/>
        <v>0</v>
      </c>
      <c r="AM38" s="1">
        <f t="shared" si="17"/>
        <v>0</v>
      </c>
    </row>
    <row r="39" spans="1:39" x14ac:dyDescent="0.3">
      <c r="A39" s="12">
        <v>37</v>
      </c>
      <c r="B39" s="24" t="s">
        <v>124</v>
      </c>
      <c r="C39" s="25" t="s">
        <v>125</v>
      </c>
      <c r="D39" s="26" t="s">
        <v>126</v>
      </c>
      <c r="E39" s="27" t="s">
        <v>127</v>
      </c>
      <c r="F39" s="28">
        <f>+AB39</f>
        <v>0</v>
      </c>
      <c r="G39" s="29">
        <f t="shared" si="15"/>
        <v>2</v>
      </c>
      <c r="H39" s="15"/>
      <c r="I39" s="15">
        <f t="shared" si="1"/>
        <v>0</v>
      </c>
      <c r="J39" s="15"/>
      <c r="K39" s="15">
        <f t="shared" si="16"/>
        <v>0</v>
      </c>
      <c r="L39" s="15"/>
      <c r="M39" s="15">
        <f t="shared" si="2"/>
        <v>0</v>
      </c>
      <c r="N39" s="15"/>
      <c r="O39" s="15">
        <f t="shared" si="3"/>
        <v>0</v>
      </c>
      <c r="P39" s="15"/>
      <c r="Q39" s="15">
        <f t="shared" si="4"/>
        <v>0</v>
      </c>
      <c r="R39" s="15">
        <v>1</v>
      </c>
      <c r="S39" s="15">
        <f t="shared" si="5"/>
        <v>0</v>
      </c>
      <c r="T39" s="15">
        <v>1</v>
      </c>
      <c r="U39" s="15">
        <f t="shared" si="6"/>
        <v>0</v>
      </c>
      <c r="V39" s="15">
        <f t="shared" si="7"/>
        <v>0</v>
      </c>
      <c r="W39" s="17"/>
      <c r="X39" s="17"/>
      <c r="Y39" s="18">
        <v>5.7000000000000002E-2</v>
      </c>
      <c r="Z39" s="1">
        <f t="shared" si="8"/>
        <v>0</v>
      </c>
      <c r="AA39" s="21">
        <v>1</v>
      </c>
      <c r="AB39" s="1">
        <v>0</v>
      </c>
      <c r="AC39" s="30"/>
      <c r="AD39" s="31">
        <f>1202+1202</f>
        <v>2404</v>
      </c>
      <c r="AE39" s="32" t="s">
        <v>128</v>
      </c>
      <c r="AF39" s="20">
        <f>SUMIF('[1]G-Chart'!G:G,[1]Capacity!D39,'[1]G-Chart'!L:L)</f>
        <v>68</v>
      </c>
      <c r="AG39" s="2">
        <f t="shared" si="9"/>
        <v>0</v>
      </c>
      <c r="AH39" s="2">
        <f t="shared" si="10"/>
        <v>0</v>
      </c>
      <c r="AI39" s="2">
        <f t="shared" si="11"/>
        <v>0</v>
      </c>
      <c r="AJ39" s="1">
        <f t="shared" si="12"/>
        <v>0</v>
      </c>
      <c r="AK39" s="1">
        <f t="shared" si="13"/>
        <v>68</v>
      </c>
      <c r="AL39" s="1">
        <f t="shared" si="14"/>
        <v>68</v>
      </c>
      <c r="AM39" s="1">
        <f t="shared" si="17"/>
        <v>136</v>
      </c>
    </row>
    <row r="40" spans="1:39" x14ac:dyDescent="0.3">
      <c r="A40" s="12">
        <v>38</v>
      </c>
      <c r="B40" s="12" t="s">
        <v>124</v>
      </c>
      <c r="C40" s="13" t="s">
        <v>129</v>
      </c>
      <c r="D40" s="22" t="s">
        <v>130</v>
      </c>
      <c r="E40" s="14" t="s">
        <v>131</v>
      </c>
      <c r="F40" s="15">
        <f t="shared" ref="F40:F48" si="18">+AB40</f>
        <v>4808</v>
      </c>
      <c r="G40" s="15">
        <v>3</v>
      </c>
      <c r="H40" s="15"/>
      <c r="I40" s="15">
        <f t="shared" si="1"/>
        <v>0</v>
      </c>
      <c r="J40" s="15"/>
      <c r="K40" s="15">
        <f t="shared" si="16"/>
        <v>0</v>
      </c>
      <c r="L40" s="15"/>
      <c r="M40" s="15">
        <f t="shared" si="2"/>
        <v>0</v>
      </c>
      <c r="N40" s="15">
        <v>1</v>
      </c>
      <c r="O40" s="15">
        <f t="shared" si="3"/>
        <v>4808</v>
      </c>
      <c r="P40" s="15">
        <v>2</v>
      </c>
      <c r="Q40" s="15">
        <f t="shared" si="4"/>
        <v>9616</v>
      </c>
      <c r="R40" s="15"/>
      <c r="S40" s="15">
        <f t="shared" si="5"/>
        <v>0</v>
      </c>
      <c r="T40" s="15"/>
      <c r="U40" s="15">
        <f t="shared" si="6"/>
        <v>0</v>
      </c>
      <c r="V40" s="15">
        <f t="shared" si="7"/>
        <v>14424</v>
      </c>
      <c r="W40" s="17"/>
      <c r="X40" s="17"/>
      <c r="Y40" s="18">
        <v>2.5000000000000001E-2</v>
      </c>
      <c r="Z40" s="1">
        <f t="shared" si="8"/>
        <v>192.32</v>
      </c>
      <c r="AA40" s="21">
        <v>2</v>
      </c>
      <c r="AB40" s="1">
        <f>AA40*$AD$39</f>
        <v>4808</v>
      </c>
      <c r="AC40" s="21"/>
      <c r="AE40" s="19"/>
      <c r="AF40" s="20">
        <f>SUMIF('[1]G-Chart'!G:G,[1]Capacity!D40,'[1]G-Chart'!L:L)</f>
        <v>686</v>
      </c>
      <c r="AG40" s="2">
        <f t="shared" si="9"/>
        <v>0</v>
      </c>
      <c r="AH40" s="2">
        <f t="shared" si="10"/>
        <v>0</v>
      </c>
      <c r="AI40" s="2">
        <f t="shared" si="11"/>
        <v>686</v>
      </c>
      <c r="AJ40" s="1">
        <f t="shared" si="12"/>
        <v>1372</v>
      </c>
      <c r="AK40" s="1">
        <f t="shared" si="13"/>
        <v>0</v>
      </c>
      <c r="AL40" s="1">
        <f t="shared" si="14"/>
        <v>0</v>
      </c>
      <c r="AM40" s="1">
        <f t="shared" si="17"/>
        <v>2058</v>
      </c>
    </row>
    <row r="41" spans="1:39" x14ac:dyDescent="0.3">
      <c r="A41" s="12">
        <v>39</v>
      </c>
      <c r="B41" s="12" t="s">
        <v>124</v>
      </c>
      <c r="C41" s="13" t="s">
        <v>132</v>
      </c>
      <c r="D41" s="23" t="s">
        <v>133</v>
      </c>
      <c r="E41" s="14" t="s">
        <v>134</v>
      </c>
      <c r="F41" s="15">
        <f t="shared" si="18"/>
        <v>0</v>
      </c>
      <c r="G41" s="16">
        <f t="shared" si="15"/>
        <v>2.5</v>
      </c>
      <c r="H41" s="15"/>
      <c r="I41" s="15">
        <f t="shared" si="1"/>
        <v>0</v>
      </c>
      <c r="J41" s="15"/>
      <c r="K41" s="15">
        <f t="shared" si="16"/>
        <v>0</v>
      </c>
      <c r="L41" s="15">
        <v>1.5</v>
      </c>
      <c r="M41" s="15">
        <f t="shared" si="2"/>
        <v>0</v>
      </c>
      <c r="N41" s="15">
        <v>1</v>
      </c>
      <c r="O41" s="15">
        <f t="shared" si="3"/>
        <v>0</v>
      </c>
      <c r="P41" s="15"/>
      <c r="Q41" s="15">
        <f t="shared" si="4"/>
        <v>0</v>
      </c>
      <c r="R41" s="15"/>
      <c r="S41" s="15">
        <f t="shared" si="5"/>
        <v>0</v>
      </c>
      <c r="T41" s="15"/>
      <c r="U41" s="15">
        <f t="shared" si="6"/>
        <v>0</v>
      </c>
      <c r="V41" s="15">
        <f t="shared" si="7"/>
        <v>0</v>
      </c>
      <c r="W41" s="17"/>
      <c r="X41" s="17"/>
      <c r="Y41" s="18">
        <v>0.1</v>
      </c>
      <c r="Z41" s="1">
        <f t="shared" si="8"/>
        <v>0</v>
      </c>
      <c r="AA41" s="21">
        <v>1</v>
      </c>
      <c r="AB41" s="1">
        <v>0</v>
      </c>
      <c r="AC41" s="21"/>
      <c r="AE41" s="19"/>
      <c r="AF41" s="20">
        <f>SUMIF('[1]G-Chart'!G:G,[1]Capacity!D41,'[1]G-Chart'!L:L)</f>
        <v>-1312</v>
      </c>
      <c r="AG41" s="2">
        <f t="shared" si="9"/>
        <v>0</v>
      </c>
      <c r="AH41" s="2">
        <v>0</v>
      </c>
      <c r="AI41" s="2">
        <v>0</v>
      </c>
      <c r="AJ41" s="1">
        <f t="shared" si="12"/>
        <v>0</v>
      </c>
      <c r="AK41" s="1">
        <f t="shared" si="13"/>
        <v>0</v>
      </c>
      <c r="AL41" s="1">
        <f t="shared" si="14"/>
        <v>0</v>
      </c>
      <c r="AM41" s="1">
        <f t="shared" si="17"/>
        <v>-3280</v>
      </c>
    </row>
    <row r="42" spans="1:39" x14ac:dyDescent="0.3">
      <c r="A42" s="12">
        <v>40</v>
      </c>
      <c r="B42" s="24" t="s">
        <v>124</v>
      </c>
      <c r="C42" s="25" t="s">
        <v>135</v>
      </c>
      <c r="D42" s="26" t="s">
        <v>136</v>
      </c>
      <c r="E42" s="27" t="s">
        <v>137</v>
      </c>
      <c r="F42" s="28">
        <f>+AB42</f>
        <v>0</v>
      </c>
      <c r="G42" s="29">
        <f t="shared" si="15"/>
        <v>2.5</v>
      </c>
      <c r="H42" s="15"/>
      <c r="I42" s="15">
        <f t="shared" si="1"/>
        <v>0</v>
      </c>
      <c r="J42" s="15"/>
      <c r="K42" s="15">
        <f t="shared" si="16"/>
        <v>0</v>
      </c>
      <c r="L42" s="15">
        <v>1.5</v>
      </c>
      <c r="M42" s="15">
        <f t="shared" si="2"/>
        <v>0</v>
      </c>
      <c r="N42" s="15">
        <v>1</v>
      </c>
      <c r="O42" s="15">
        <f t="shared" si="3"/>
        <v>0</v>
      </c>
      <c r="P42" s="15"/>
      <c r="Q42" s="15">
        <f t="shared" si="4"/>
        <v>0</v>
      </c>
      <c r="R42" s="15"/>
      <c r="S42" s="15">
        <f t="shared" si="5"/>
        <v>0</v>
      </c>
      <c r="T42" s="15"/>
      <c r="U42" s="15">
        <f t="shared" si="6"/>
        <v>0</v>
      </c>
      <c r="V42" s="15">
        <f t="shared" si="7"/>
        <v>0</v>
      </c>
      <c r="W42" s="17"/>
      <c r="X42" s="17"/>
      <c r="Y42" s="18">
        <v>0.1</v>
      </c>
      <c r="Z42" s="1">
        <f t="shared" si="8"/>
        <v>0</v>
      </c>
      <c r="AA42" s="21">
        <v>1</v>
      </c>
      <c r="AB42" s="1">
        <v>0</v>
      </c>
      <c r="AC42" s="21"/>
      <c r="AE42" s="19"/>
      <c r="AF42" s="20">
        <f>SUMIF('[1]G-Chart'!G:G,[1]Capacity!D42,'[1]G-Chart'!L:L)</f>
        <v>0</v>
      </c>
      <c r="AG42" s="2">
        <f t="shared" si="9"/>
        <v>0</v>
      </c>
      <c r="AH42" s="2">
        <f t="shared" si="10"/>
        <v>0</v>
      </c>
      <c r="AI42" s="2">
        <f t="shared" si="11"/>
        <v>0</v>
      </c>
      <c r="AJ42" s="1">
        <f t="shared" si="12"/>
        <v>0</v>
      </c>
      <c r="AK42" s="1">
        <f t="shared" si="13"/>
        <v>0</v>
      </c>
      <c r="AL42" s="1">
        <f t="shared" si="14"/>
        <v>0</v>
      </c>
      <c r="AM42" s="1">
        <f t="shared" si="17"/>
        <v>0</v>
      </c>
    </row>
    <row r="43" spans="1:39" x14ac:dyDescent="0.3">
      <c r="A43" s="12">
        <v>41</v>
      </c>
      <c r="B43" s="12" t="s">
        <v>124</v>
      </c>
      <c r="C43" s="13" t="s">
        <v>138</v>
      </c>
      <c r="D43" s="13" t="s">
        <v>139</v>
      </c>
      <c r="E43" s="14" t="s">
        <v>140</v>
      </c>
      <c r="F43" s="15">
        <f t="shared" si="18"/>
        <v>1202</v>
      </c>
      <c r="G43" s="15">
        <f t="shared" si="15"/>
        <v>2.5</v>
      </c>
      <c r="H43" s="15"/>
      <c r="I43" s="15">
        <f t="shared" si="1"/>
        <v>0</v>
      </c>
      <c r="J43" s="15"/>
      <c r="K43" s="15">
        <f t="shared" si="16"/>
        <v>0</v>
      </c>
      <c r="L43" s="15"/>
      <c r="M43" s="15">
        <f t="shared" si="2"/>
        <v>0</v>
      </c>
      <c r="N43" s="15">
        <v>1.5</v>
      </c>
      <c r="O43" s="15">
        <f t="shared" si="3"/>
        <v>1803</v>
      </c>
      <c r="P43" s="15">
        <v>1</v>
      </c>
      <c r="Q43" s="15">
        <f t="shared" si="4"/>
        <v>1202</v>
      </c>
      <c r="R43" s="15"/>
      <c r="S43" s="15">
        <f t="shared" si="5"/>
        <v>0</v>
      </c>
      <c r="T43" s="15"/>
      <c r="U43" s="15">
        <f t="shared" si="6"/>
        <v>0</v>
      </c>
      <c r="V43" s="15">
        <f t="shared" si="7"/>
        <v>3005</v>
      </c>
      <c r="W43" s="17"/>
      <c r="X43" s="17"/>
      <c r="Y43" s="18">
        <v>0.02</v>
      </c>
      <c r="Z43" s="1">
        <f t="shared" si="8"/>
        <v>48.08</v>
      </c>
      <c r="AA43" s="21">
        <v>1</v>
      </c>
      <c r="AB43" s="1">
        <f>AA43*AD43</f>
        <v>1202</v>
      </c>
      <c r="AC43" s="21"/>
      <c r="AD43" s="31">
        <v>1202</v>
      </c>
      <c r="AE43" s="33" t="s">
        <v>141</v>
      </c>
      <c r="AF43" s="20">
        <f>SUMIF('[1]G-Chart'!G:G,[1]Capacity!D43,'[1]G-Chart'!L:L)</f>
        <v>623</v>
      </c>
      <c r="AG43" s="2">
        <f t="shared" si="9"/>
        <v>0</v>
      </c>
      <c r="AH43" s="2">
        <f t="shared" si="10"/>
        <v>0</v>
      </c>
      <c r="AI43" s="2">
        <f t="shared" si="11"/>
        <v>934.5</v>
      </c>
      <c r="AJ43" s="1">
        <f t="shared" si="12"/>
        <v>623</v>
      </c>
      <c r="AK43" s="1">
        <f t="shared" si="13"/>
        <v>0</v>
      </c>
      <c r="AL43" s="1">
        <f t="shared" si="14"/>
        <v>0</v>
      </c>
      <c r="AM43" s="1">
        <f t="shared" si="17"/>
        <v>1557.5</v>
      </c>
    </row>
    <row r="44" spans="1:39" x14ac:dyDescent="0.3">
      <c r="A44" s="12">
        <v>42</v>
      </c>
      <c r="B44" s="12" t="s">
        <v>124</v>
      </c>
      <c r="C44" s="13" t="s">
        <v>142</v>
      </c>
      <c r="D44" s="13" t="s">
        <v>143</v>
      </c>
      <c r="E44" s="14" t="s">
        <v>144</v>
      </c>
      <c r="F44" s="15">
        <f t="shared" si="18"/>
        <v>1202</v>
      </c>
      <c r="G44" s="15">
        <f t="shared" si="15"/>
        <v>2.5</v>
      </c>
      <c r="H44" s="15"/>
      <c r="I44" s="15">
        <f t="shared" si="1"/>
        <v>0</v>
      </c>
      <c r="J44" s="15"/>
      <c r="K44" s="15">
        <f t="shared" si="16"/>
        <v>0</v>
      </c>
      <c r="L44" s="15"/>
      <c r="M44" s="15">
        <f t="shared" si="2"/>
        <v>0</v>
      </c>
      <c r="N44" s="15">
        <v>1.5</v>
      </c>
      <c r="O44" s="15">
        <f t="shared" si="3"/>
        <v>1803</v>
      </c>
      <c r="P44" s="15">
        <v>1</v>
      </c>
      <c r="Q44" s="15">
        <f t="shared" si="4"/>
        <v>1202</v>
      </c>
      <c r="R44" s="15"/>
      <c r="S44" s="15">
        <f t="shared" si="5"/>
        <v>0</v>
      </c>
      <c r="T44" s="15"/>
      <c r="U44" s="15">
        <f t="shared" si="6"/>
        <v>0</v>
      </c>
      <c r="V44" s="15">
        <f t="shared" si="7"/>
        <v>3005</v>
      </c>
      <c r="W44" s="17"/>
      <c r="X44" s="17"/>
      <c r="Y44" s="18">
        <v>0.02</v>
      </c>
      <c r="Z44" s="1">
        <f t="shared" si="8"/>
        <v>48.08</v>
      </c>
      <c r="AA44" s="21">
        <v>1</v>
      </c>
      <c r="AB44" s="1">
        <f>AA44*AD44</f>
        <v>1202</v>
      </c>
      <c r="AC44" s="21"/>
      <c r="AD44" s="31">
        <v>1202</v>
      </c>
      <c r="AE44" s="33" t="s">
        <v>145</v>
      </c>
      <c r="AF44" s="20">
        <f>SUMIF('[1]G-Chart'!G:G,[1]Capacity!D44,'[1]G-Chart'!L:L)</f>
        <v>623</v>
      </c>
      <c r="AG44" s="2">
        <f t="shared" si="9"/>
        <v>0</v>
      </c>
      <c r="AH44" s="2">
        <f t="shared" si="10"/>
        <v>0</v>
      </c>
      <c r="AI44" s="2">
        <f t="shared" si="11"/>
        <v>934.5</v>
      </c>
      <c r="AJ44" s="1">
        <f t="shared" si="12"/>
        <v>623</v>
      </c>
      <c r="AK44" s="1">
        <f t="shared" si="13"/>
        <v>0</v>
      </c>
      <c r="AL44" s="1">
        <f t="shared" si="14"/>
        <v>0</v>
      </c>
      <c r="AM44" s="1">
        <f t="shared" si="17"/>
        <v>1557.5</v>
      </c>
    </row>
    <row r="45" spans="1:39" x14ac:dyDescent="0.3">
      <c r="A45" s="12">
        <v>43</v>
      </c>
      <c r="B45" s="12" t="s">
        <v>124</v>
      </c>
      <c r="C45" s="13" t="s">
        <v>146</v>
      </c>
      <c r="D45" s="23" t="s">
        <v>147</v>
      </c>
      <c r="E45" s="14" t="s">
        <v>148</v>
      </c>
      <c r="F45" s="15">
        <f t="shared" si="18"/>
        <v>0</v>
      </c>
      <c r="G45" s="16">
        <f t="shared" si="15"/>
        <v>3</v>
      </c>
      <c r="H45" s="15"/>
      <c r="I45" s="15">
        <f t="shared" si="1"/>
        <v>0</v>
      </c>
      <c r="J45" s="15">
        <v>1</v>
      </c>
      <c r="K45" s="15">
        <f t="shared" si="16"/>
        <v>0</v>
      </c>
      <c r="L45" s="15"/>
      <c r="M45" s="15">
        <f t="shared" si="2"/>
        <v>0</v>
      </c>
      <c r="N45" s="15"/>
      <c r="O45" s="15">
        <f t="shared" si="3"/>
        <v>0</v>
      </c>
      <c r="P45" s="15">
        <v>1</v>
      </c>
      <c r="Q45" s="15">
        <f t="shared" si="4"/>
        <v>0</v>
      </c>
      <c r="R45" s="15">
        <v>1</v>
      </c>
      <c r="S45" s="15">
        <f t="shared" si="5"/>
        <v>0</v>
      </c>
      <c r="T45" s="15"/>
      <c r="U45" s="15">
        <f t="shared" si="6"/>
        <v>0</v>
      </c>
      <c r="V45" s="15">
        <f t="shared" si="7"/>
        <v>0</v>
      </c>
      <c r="W45" s="17"/>
      <c r="X45" s="17"/>
      <c r="Y45" s="18">
        <v>0.105</v>
      </c>
      <c r="Z45" s="1">
        <f t="shared" si="8"/>
        <v>0</v>
      </c>
      <c r="AA45" s="21"/>
      <c r="AB45" s="1">
        <f>AA45*$AD$39</f>
        <v>0</v>
      </c>
      <c r="AC45" s="21"/>
      <c r="AE45" s="19"/>
      <c r="AF45" s="20">
        <f>SUMIF('[1]G-Chart'!G:G,[1]Capacity!D45,'[1]G-Chart'!L:L)</f>
        <v>0</v>
      </c>
      <c r="AG45" s="2">
        <f t="shared" si="9"/>
        <v>0</v>
      </c>
      <c r="AH45" s="2">
        <f t="shared" si="10"/>
        <v>0</v>
      </c>
      <c r="AI45" s="2">
        <f t="shared" si="11"/>
        <v>0</v>
      </c>
      <c r="AJ45" s="1">
        <f t="shared" si="12"/>
        <v>0</v>
      </c>
      <c r="AK45" s="1">
        <f t="shared" si="13"/>
        <v>0</v>
      </c>
      <c r="AL45" s="1">
        <f t="shared" si="14"/>
        <v>0</v>
      </c>
      <c r="AM45" s="1">
        <f t="shared" si="17"/>
        <v>0</v>
      </c>
    </row>
    <row r="46" spans="1:39" x14ac:dyDescent="0.3">
      <c r="A46" s="12">
        <v>44</v>
      </c>
      <c r="B46" s="24" t="s">
        <v>124</v>
      </c>
      <c r="C46" s="25" t="s">
        <v>149</v>
      </c>
      <c r="D46" s="26" t="s">
        <v>150</v>
      </c>
      <c r="E46" s="27" t="s">
        <v>151</v>
      </c>
      <c r="F46" s="28">
        <f t="shared" si="18"/>
        <v>0</v>
      </c>
      <c r="G46" s="29">
        <f t="shared" si="15"/>
        <v>3</v>
      </c>
      <c r="H46" s="15"/>
      <c r="I46" s="15">
        <f t="shared" si="1"/>
        <v>0</v>
      </c>
      <c r="J46" s="15">
        <v>1</v>
      </c>
      <c r="K46" s="15">
        <f t="shared" si="16"/>
        <v>0</v>
      </c>
      <c r="L46" s="15"/>
      <c r="M46" s="15">
        <f t="shared" si="2"/>
        <v>0</v>
      </c>
      <c r="N46" s="15"/>
      <c r="O46" s="15">
        <f t="shared" si="3"/>
        <v>0</v>
      </c>
      <c r="P46" s="15">
        <v>1</v>
      </c>
      <c r="Q46" s="15">
        <f t="shared" si="4"/>
        <v>0</v>
      </c>
      <c r="R46" s="15">
        <v>1</v>
      </c>
      <c r="S46" s="15">
        <f t="shared" si="5"/>
        <v>0</v>
      </c>
      <c r="T46" s="15"/>
      <c r="U46" s="15">
        <f t="shared" si="6"/>
        <v>0</v>
      </c>
      <c r="V46" s="15">
        <f t="shared" si="7"/>
        <v>0</v>
      </c>
      <c r="W46" s="17"/>
      <c r="X46" s="17"/>
      <c r="Y46" s="18">
        <v>0.105</v>
      </c>
      <c r="Z46" s="1">
        <f t="shared" si="8"/>
        <v>0</v>
      </c>
      <c r="AA46" s="21"/>
      <c r="AB46" s="1">
        <f>AA46*$AD$39</f>
        <v>0</v>
      </c>
      <c r="AC46" s="21"/>
      <c r="AE46" s="19"/>
      <c r="AF46" s="20">
        <f>SUMIF('[1]G-Chart'!G:G,[1]Capacity!D46,'[1]G-Chart'!L:L)</f>
        <v>0</v>
      </c>
      <c r="AG46" s="2">
        <f t="shared" si="9"/>
        <v>0</v>
      </c>
      <c r="AH46" s="2">
        <f t="shared" si="10"/>
        <v>0</v>
      </c>
      <c r="AI46" s="2">
        <f t="shared" si="11"/>
        <v>0</v>
      </c>
      <c r="AJ46" s="1">
        <f t="shared" si="12"/>
        <v>0</v>
      </c>
      <c r="AK46" s="1">
        <f t="shared" si="13"/>
        <v>0</v>
      </c>
      <c r="AL46" s="1">
        <f t="shared" si="14"/>
        <v>0</v>
      </c>
      <c r="AM46" s="1">
        <f t="shared" si="17"/>
        <v>0</v>
      </c>
    </row>
    <row r="47" spans="1:39" x14ac:dyDescent="0.3">
      <c r="A47" s="12">
        <v>45</v>
      </c>
      <c r="B47" s="12" t="s">
        <v>124</v>
      </c>
      <c r="C47" s="13" t="s">
        <v>152</v>
      </c>
      <c r="D47" s="22" t="s">
        <v>153</v>
      </c>
      <c r="E47" s="14" t="s">
        <v>154</v>
      </c>
      <c r="F47" s="15">
        <f t="shared" si="18"/>
        <v>1202</v>
      </c>
      <c r="G47" s="15">
        <f t="shared" si="15"/>
        <v>2.5</v>
      </c>
      <c r="H47" s="15"/>
      <c r="I47" s="15">
        <f t="shared" si="1"/>
        <v>0</v>
      </c>
      <c r="J47" s="15"/>
      <c r="K47" s="15">
        <f t="shared" si="16"/>
        <v>0</v>
      </c>
      <c r="L47" s="15">
        <v>1</v>
      </c>
      <c r="M47" s="15">
        <f t="shared" si="2"/>
        <v>1202</v>
      </c>
      <c r="N47" s="15">
        <v>1</v>
      </c>
      <c r="O47" s="15">
        <f t="shared" si="3"/>
        <v>1202</v>
      </c>
      <c r="P47" s="15">
        <v>0.5</v>
      </c>
      <c r="Q47" s="15">
        <f t="shared" si="4"/>
        <v>601</v>
      </c>
      <c r="R47" s="15"/>
      <c r="S47" s="15">
        <f t="shared" si="5"/>
        <v>0</v>
      </c>
      <c r="T47" s="15"/>
      <c r="U47" s="15">
        <f t="shared" si="6"/>
        <v>0</v>
      </c>
      <c r="V47" s="15">
        <f t="shared" si="7"/>
        <v>3005</v>
      </c>
      <c r="W47" s="17"/>
      <c r="X47" s="17"/>
      <c r="Y47" s="18">
        <v>0.158</v>
      </c>
      <c r="Z47" s="1">
        <f t="shared" si="8"/>
        <v>48.08</v>
      </c>
      <c r="AA47" s="21">
        <v>1</v>
      </c>
      <c r="AB47" s="1">
        <f>AA47*AD47</f>
        <v>1202</v>
      </c>
      <c r="AC47" s="21"/>
      <c r="AD47" s="31">
        <v>1202</v>
      </c>
      <c r="AE47" s="33" t="s">
        <v>155</v>
      </c>
      <c r="AF47" s="20">
        <f>SUMIF('[1]G-Chart'!G:G,[1]Capacity!D47,'[1]G-Chart'!L:L)</f>
        <v>1343</v>
      </c>
      <c r="AG47" s="2">
        <f t="shared" si="9"/>
        <v>0</v>
      </c>
      <c r="AH47" s="2">
        <f t="shared" si="10"/>
        <v>1343</v>
      </c>
      <c r="AI47" s="2">
        <f t="shared" si="11"/>
        <v>1343</v>
      </c>
      <c r="AJ47" s="1">
        <f t="shared" si="12"/>
        <v>671.5</v>
      </c>
      <c r="AK47" s="1">
        <f t="shared" si="13"/>
        <v>0</v>
      </c>
      <c r="AL47" s="1">
        <f t="shared" si="14"/>
        <v>0</v>
      </c>
      <c r="AM47" s="1">
        <f t="shared" si="17"/>
        <v>3357.5</v>
      </c>
    </row>
    <row r="48" spans="1:39" x14ac:dyDescent="0.3">
      <c r="A48" s="12">
        <v>46</v>
      </c>
      <c r="B48" s="12" t="s">
        <v>124</v>
      </c>
      <c r="C48" s="13" t="s">
        <v>156</v>
      </c>
      <c r="D48" s="22" t="s">
        <v>157</v>
      </c>
      <c r="E48" s="14" t="s">
        <v>158</v>
      </c>
      <c r="F48" s="15">
        <f t="shared" si="18"/>
        <v>1202</v>
      </c>
      <c r="G48" s="15">
        <f t="shared" si="15"/>
        <v>2.5</v>
      </c>
      <c r="H48" s="15"/>
      <c r="I48" s="15">
        <f t="shared" si="1"/>
        <v>0</v>
      </c>
      <c r="J48" s="15"/>
      <c r="K48" s="15">
        <f t="shared" si="16"/>
        <v>0</v>
      </c>
      <c r="L48" s="15">
        <v>1</v>
      </c>
      <c r="M48" s="15">
        <f t="shared" si="2"/>
        <v>1202</v>
      </c>
      <c r="N48" s="15">
        <v>1</v>
      </c>
      <c r="O48" s="15">
        <f t="shared" si="3"/>
        <v>1202</v>
      </c>
      <c r="P48" s="15">
        <v>0.5</v>
      </c>
      <c r="Q48" s="15">
        <f t="shared" si="4"/>
        <v>601</v>
      </c>
      <c r="R48" s="15"/>
      <c r="S48" s="15">
        <f t="shared" si="5"/>
        <v>0</v>
      </c>
      <c r="T48" s="15"/>
      <c r="U48" s="15">
        <f t="shared" si="6"/>
        <v>0</v>
      </c>
      <c r="V48" s="15">
        <f t="shared" si="7"/>
        <v>3005</v>
      </c>
      <c r="W48" s="17"/>
      <c r="X48" s="17"/>
      <c r="Y48" s="18">
        <v>0.158</v>
      </c>
      <c r="Z48" s="1">
        <f t="shared" si="8"/>
        <v>48.08</v>
      </c>
      <c r="AA48" s="21">
        <v>1</v>
      </c>
      <c r="AB48" s="1">
        <f>AA48*AD47</f>
        <v>1202</v>
      </c>
      <c r="AC48" s="21"/>
      <c r="AE48" s="19"/>
      <c r="AF48" s="20">
        <f>SUMIF('[1]G-Chart'!G:G,[1]Capacity!D48,'[1]G-Chart'!L:L)</f>
        <v>1276</v>
      </c>
      <c r="AG48" s="2">
        <f t="shared" si="9"/>
        <v>0</v>
      </c>
      <c r="AH48" s="2">
        <f t="shared" si="10"/>
        <v>1276</v>
      </c>
      <c r="AI48" s="2">
        <f t="shared" si="11"/>
        <v>1276</v>
      </c>
      <c r="AJ48" s="1">
        <f t="shared" si="12"/>
        <v>638</v>
      </c>
      <c r="AK48" s="1">
        <f t="shared" si="13"/>
        <v>0</v>
      </c>
      <c r="AL48" s="1">
        <f t="shared" si="14"/>
        <v>0</v>
      </c>
      <c r="AM48" s="1">
        <f t="shared" si="17"/>
        <v>3190</v>
      </c>
    </row>
    <row r="49" spans="1:39" x14ac:dyDescent="0.3">
      <c r="A49" s="12">
        <v>47</v>
      </c>
      <c r="B49" s="12" t="s">
        <v>124</v>
      </c>
      <c r="C49" s="13" t="s">
        <v>159</v>
      </c>
      <c r="D49" s="34" t="s">
        <v>160</v>
      </c>
      <c r="E49" s="14"/>
      <c r="F49" s="15">
        <v>0</v>
      </c>
      <c r="G49" s="16">
        <f t="shared" si="15"/>
        <v>0</v>
      </c>
      <c r="H49" s="15"/>
      <c r="I49" s="15">
        <f t="shared" si="1"/>
        <v>0</v>
      </c>
      <c r="J49" s="15"/>
      <c r="K49" s="15">
        <f t="shared" si="16"/>
        <v>0</v>
      </c>
      <c r="L49" s="15"/>
      <c r="M49" s="15">
        <f t="shared" si="2"/>
        <v>0</v>
      </c>
      <c r="N49" s="15"/>
      <c r="O49" s="15">
        <f t="shared" si="3"/>
        <v>0</v>
      </c>
      <c r="P49" s="15"/>
      <c r="Q49" s="15">
        <f t="shared" si="4"/>
        <v>0</v>
      </c>
      <c r="R49" s="15"/>
      <c r="S49" s="15">
        <f t="shared" si="5"/>
        <v>0</v>
      </c>
      <c r="T49" s="15"/>
      <c r="U49" s="15">
        <f t="shared" si="6"/>
        <v>0</v>
      </c>
      <c r="V49" s="15">
        <f t="shared" si="7"/>
        <v>0</v>
      </c>
      <c r="W49" s="17"/>
      <c r="X49" s="17"/>
      <c r="Y49" s="18"/>
      <c r="Z49" s="1">
        <f t="shared" si="8"/>
        <v>0</v>
      </c>
      <c r="AA49" s="21"/>
      <c r="AC49" s="21"/>
      <c r="AE49" s="19"/>
      <c r="AF49" s="20">
        <f>SUMIF('[1]G-Chart'!G:G,[1]Capacity!D49,'[1]G-Chart'!L:L)</f>
        <v>0</v>
      </c>
      <c r="AG49" s="2">
        <f t="shared" si="9"/>
        <v>0</v>
      </c>
      <c r="AH49" s="2">
        <f t="shared" si="10"/>
        <v>0</v>
      </c>
      <c r="AI49" s="2">
        <f t="shared" si="11"/>
        <v>0</v>
      </c>
      <c r="AJ49" s="1">
        <f t="shared" si="12"/>
        <v>0</v>
      </c>
      <c r="AK49" s="1">
        <f t="shared" si="13"/>
        <v>0</v>
      </c>
      <c r="AL49" s="1">
        <f t="shared" si="14"/>
        <v>0</v>
      </c>
      <c r="AM49" s="1">
        <f t="shared" si="17"/>
        <v>0</v>
      </c>
    </row>
    <row r="50" spans="1:39" x14ac:dyDescent="0.3">
      <c r="A50" s="12">
        <v>48</v>
      </c>
      <c r="B50" s="24" t="s">
        <v>124</v>
      </c>
      <c r="C50" s="25" t="s">
        <v>161</v>
      </c>
      <c r="D50" s="35" t="s">
        <v>162</v>
      </c>
      <c r="E50" s="27"/>
      <c r="F50" s="28">
        <v>0</v>
      </c>
      <c r="G50" s="29">
        <f t="shared" si="15"/>
        <v>0</v>
      </c>
      <c r="H50" s="15"/>
      <c r="I50" s="15">
        <f t="shared" si="1"/>
        <v>0</v>
      </c>
      <c r="J50" s="15"/>
      <c r="K50" s="15">
        <f t="shared" si="16"/>
        <v>0</v>
      </c>
      <c r="L50" s="15"/>
      <c r="M50" s="15">
        <f t="shared" si="2"/>
        <v>0</v>
      </c>
      <c r="N50" s="15"/>
      <c r="O50" s="15">
        <f t="shared" si="3"/>
        <v>0</v>
      </c>
      <c r="P50" s="15"/>
      <c r="Q50" s="15">
        <f t="shared" si="4"/>
        <v>0</v>
      </c>
      <c r="R50" s="15"/>
      <c r="S50" s="15">
        <f t="shared" si="5"/>
        <v>0</v>
      </c>
      <c r="T50" s="15"/>
      <c r="U50" s="15">
        <f t="shared" si="6"/>
        <v>0</v>
      </c>
      <c r="V50" s="15">
        <f t="shared" si="7"/>
        <v>0</v>
      </c>
      <c r="W50" s="17"/>
      <c r="X50" s="17"/>
      <c r="Y50" s="18"/>
      <c r="Z50" s="1">
        <f t="shared" si="8"/>
        <v>0</v>
      </c>
      <c r="AA50" s="21"/>
      <c r="AC50" s="21"/>
      <c r="AE50" s="19"/>
      <c r="AF50" s="20">
        <f>SUMIF('[1]G-Chart'!G:G,[1]Capacity!D50,'[1]G-Chart'!L:L)</f>
        <v>0</v>
      </c>
      <c r="AG50" s="2">
        <f t="shared" si="9"/>
        <v>0</v>
      </c>
      <c r="AH50" s="2">
        <f t="shared" si="10"/>
        <v>0</v>
      </c>
      <c r="AI50" s="2">
        <f t="shared" si="11"/>
        <v>0</v>
      </c>
      <c r="AJ50" s="1">
        <f t="shared" si="12"/>
        <v>0</v>
      </c>
      <c r="AK50" s="1">
        <f t="shared" si="13"/>
        <v>0</v>
      </c>
      <c r="AL50" s="1">
        <f t="shared" si="14"/>
        <v>0</v>
      </c>
      <c r="AM50" s="1">
        <f t="shared" si="17"/>
        <v>0</v>
      </c>
    </row>
    <row r="51" spans="1:39" x14ac:dyDescent="0.3">
      <c r="A51" s="12">
        <v>49</v>
      </c>
      <c r="B51" s="12" t="s">
        <v>124</v>
      </c>
      <c r="C51" s="13" t="s">
        <v>163</v>
      </c>
      <c r="D51" s="13" t="s">
        <v>164</v>
      </c>
      <c r="E51" s="14" t="s">
        <v>165</v>
      </c>
      <c r="F51" s="15">
        <f>+AB51</f>
        <v>2404</v>
      </c>
      <c r="G51" s="15">
        <f t="shared" si="15"/>
        <v>2</v>
      </c>
      <c r="H51" s="15"/>
      <c r="I51" s="15">
        <f t="shared" si="1"/>
        <v>0</v>
      </c>
      <c r="J51" s="15"/>
      <c r="K51" s="15">
        <f t="shared" si="16"/>
        <v>0</v>
      </c>
      <c r="L51" s="15">
        <v>1</v>
      </c>
      <c r="M51" s="15">
        <f t="shared" si="2"/>
        <v>2404</v>
      </c>
      <c r="N51" s="15">
        <v>1</v>
      </c>
      <c r="O51" s="15">
        <f t="shared" si="3"/>
        <v>2404</v>
      </c>
      <c r="P51" s="15"/>
      <c r="Q51" s="15">
        <f t="shared" si="4"/>
        <v>0</v>
      </c>
      <c r="R51" s="15"/>
      <c r="S51" s="15">
        <f t="shared" si="5"/>
        <v>0</v>
      </c>
      <c r="T51" s="15"/>
      <c r="U51" s="15">
        <f t="shared" si="6"/>
        <v>0</v>
      </c>
      <c r="V51" s="15">
        <f t="shared" si="7"/>
        <v>4808</v>
      </c>
      <c r="W51" s="17"/>
      <c r="X51" s="17"/>
      <c r="Y51" s="18">
        <v>4.5999999999999999E-2</v>
      </c>
      <c r="Z51" s="1">
        <f t="shared" si="8"/>
        <v>96.16</v>
      </c>
      <c r="AA51" s="21">
        <v>2</v>
      </c>
      <c r="AB51" s="1">
        <f>AA51*AD51</f>
        <v>2404</v>
      </c>
      <c r="AC51" s="21"/>
      <c r="AD51" s="31">
        <v>1202</v>
      </c>
      <c r="AE51" s="33" t="s">
        <v>166</v>
      </c>
      <c r="AF51" s="20">
        <f>SUMIF('[1]G-Chart'!G:G,[1]Capacity!D51,'[1]G-Chart'!L:L)</f>
        <v>311</v>
      </c>
      <c r="AG51" s="2">
        <f t="shared" si="9"/>
        <v>0</v>
      </c>
      <c r="AH51" s="2">
        <f t="shared" si="10"/>
        <v>311</v>
      </c>
      <c r="AI51" s="2">
        <f t="shared" si="11"/>
        <v>311</v>
      </c>
      <c r="AJ51" s="1">
        <f t="shared" si="12"/>
        <v>0</v>
      </c>
      <c r="AK51" s="1">
        <f t="shared" si="13"/>
        <v>0</v>
      </c>
      <c r="AL51" s="1">
        <f t="shared" si="14"/>
        <v>0</v>
      </c>
      <c r="AM51" s="1">
        <f t="shared" si="17"/>
        <v>622</v>
      </c>
    </row>
    <row r="52" spans="1:39" x14ac:dyDescent="0.3">
      <c r="A52" s="12">
        <v>50</v>
      </c>
      <c r="B52" s="12" t="s">
        <v>167</v>
      </c>
      <c r="C52" s="13" t="s">
        <v>168</v>
      </c>
      <c r="D52" s="13" t="s">
        <v>168</v>
      </c>
      <c r="E52" s="14" t="s">
        <v>169</v>
      </c>
      <c r="F52" s="15">
        <f>AB52</f>
        <v>4961</v>
      </c>
      <c r="G52" s="16">
        <f t="shared" si="15"/>
        <v>3</v>
      </c>
      <c r="H52" s="15"/>
      <c r="I52" s="15">
        <f t="shared" si="1"/>
        <v>0</v>
      </c>
      <c r="J52" s="15"/>
      <c r="K52" s="15">
        <f t="shared" si="16"/>
        <v>0</v>
      </c>
      <c r="L52" s="15">
        <v>1</v>
      </c>
      <c r="M52" s="15">
        <f t="shared" si="2"/>
        <v>4961</v>
      </c>
      <c r="N52" s="15"/>
      <c r="O52" s="15">
        <f t="shared" si="3"/>
        <v>0</v>
      </c>
      <c r="P52" s="15">
        <v>1</v>
      </c>
      <c r="Q52" s="15">
        <f t="shared" si="4"/>
        <v>4961</v>
      </c>
      <c r="R52" s="15"/>
      <c r="S52" s="15">
        <f t="shared" si="5"/>
        <v>0</v>
      </c>
      <c r="T52" s="15">
        <v>1</v>
      </c>
      <c r="U52" s="15">
        <f t="shared" si="6"/>
        <v>4961</v>
      </c>
      <c r="V52" s="15">
        <f>SUM(U52+Q52+M52)</f>
        <v>14883</v>
      </c>
      <c r="W52" s="17"/>
      <c r="X52" s="17"/>
      <c r="Y52" s="18">
        <v>3.4000000000000002E-2</v>
      </c>
      <c r="Z52" s="1">
        <f t="shared" si="8"/>
        <v>198.44</v>
      </c>
      <c r="AA52" s="21">
        <v>1</v>
      </c>
      <c r="AB52" s="1">
        <f>AD52*AA52</f>
        <v>4961</v>
      </c>
      <c r="AC52" s="30"/>
      <c r="AD52" s="31">
        <v>4961</v>
      </c>
      <c r="AE52" s="36" t="s">
        <v>170</v>
      </c>
      <c r="AF52" s="20">
        <f>SUMIF('[1]G-Chart'!G:G,[1]Capacity!D52,'[1]G-Chart'!L:L)</f>
        <v>840</v>
      </c>
      <c r="AG52" s="2">
        <f t="shared" si="9"/>
        <v>0</v>
      </c>
      <c r="AH52" s="2">
        <f t="shared" si="10"/>
        <v>840</v>
      </c>
      <c r="AI52" s="2">
        <f t="shared" si="11"/>
        <v>0</v>
      </c>
      <c r="AJ52" s="1">
        <f t="shared" si="12"/>
        <v>840</v>
      </c>
      <c r="AK52" s="1">
        <f t="shared" si="13"/>
        <v>0</v>
      </c>
      <c r="AL52" s="1">
        <f t="shared" si="14"/>
        <v>840</v>
      </c>
      <c r="AM52" s="1">
        <f t="shared" si="17"/>
        <v>2520</v>
      </c>
    </row>
    <row r="53" spans="1:39" x14ac:dyDescent="0.3">
      <c r="A53" s="12">
        <v>51</v>
      </c>
      <c r="B53" s="12" t="s">
        <v>171</v>
      </c>
      <c r="C53" s="13" t="s">
        <v>172</v>
      </c>
      <c r="D53" s="37" t="s">
        <v>173</v>
      </c>
      <c r="E53" s="14" t="s">
        <v>174</v>
      </c>
      <c r="F53" s="15">
        <f>AB53</f>
        <v>0</v>
      </c>
      <c r="G53" s="16">
        <f t="shared" si="15"/>
        <v>2</v>
      </c>
      <c r="H53" s="15"/>
      <c r="I53" s="15">
        <f t="shared" si="1"/>
        <v>0</v>
      </c>
      <c r="J53" s="15"/>
      <c r="K53" s="15">
        <f t="shared" si="16"/>
        <v>0</v>
      </c>
      <c r="L53" s="15"/>
      <c r="M53" s="15">
        <f t="shared" si="2"/>
        <v>0</v>
      </c>
      <c r="N53" s="15">
        <v>2</v>
      </c>
      <c r="O53" s="15">
        <f t="shared" si="3"/>
        <v>0</v>
      </c>
      <c r="P53" s="15"/>
      <c r="Q53" s="15">
        <f t="shared" si="4"/>
        <v>0</v>
      </c>
      <c r="R53" s="15"/>
      <c r="S53" s="15">
        <f t="shared" si="5"/>
        <v>0</v>
      </c>
      <c r="T53" s="15"/>
      <c r="U53" s="15">
        <f t="shared" si="6"/>
        <v>0</v>
      </c>
      <c r="V53" s="15">
        <f t="shared" ref="V53:V116" si="19">F53*G53</f>
        <v>0</v>
      </c>
      <c r="W53" s="17"/>
      <c r="X53" s="17"/>
      <c r="Y53" s="18">
        <v>7.0000000000000007E-2</v>
      </c>
      <c r="Z53" s="1">
        <f t="shared" si="8"/>
        <v>0</v>
      </c>
      <c r="AA53" s="21"/>
      <c r="AB53" s="1">
        <f>AD53*AA53</f>
        <v>0</v>
      </c>
      <c r="AC53" s="21"/>
      <c r="AE53" s="19"/>
      <c r="AF53" s="20">
        <f>SUMIF('[1]G-Chart'!G:G,[1]Capacity!D53,'[1]G-Chart'!L:L)</f>
        <v>0</v>
      </c>
      <c r="AG53" s="2">
        <f t="shared" si="9"/>
        <v>0</v>
      </c>
      <c r="AH53" s="2">
        <f t="shared" si="10"/>
        <v>0</v>
      </c>
      <c r="AI53" s="2">
        <f t="shared" si="11"/>
        <v>0</v>
      </c>
      <c r="AJ53" s="1">
        <f t="shared" si="12"/>
        <v>0</v>
      </c>
      <c r="AK53" s="1">
        <f t="shared" si="13"/>
        <v>0</v>
      </c>
      <c r="AL53" s="1">
        <f t="shared" si="14"/>
        <v>0</v>
      </c>
      <c r="AM53" s="1">
        <f t="shared" si="17"/>
        <v>0</v>
      </c>
    </row>
    <row r="54" spans="1:39" x14ac:dyDescent="0.3">
      <c r="A54" s="12">
        <v>52</v>
      </c>
      <c r="B54" s="12" t="s">
        <v>171</v>
      </c>
      <c r="C54" s="13" t="s">
        <v>175</v>
      </c>
      <c r="D54" s="38" t="s">
        <v>176</v>
      </c>
      <c r="E54" s="14" t="s">
        <v>177</v>
      </c>
      <c r="F54" s="15">
        <f t="shared" ref="F54:F64" si="20">AB54</f>
        <v>0</v>
      </c>
      <c r="G54" s="16">
        <f>H54+J54+L54+N54+P54+R54+T54</f>
        <v>2</v>
      </c>
      <c r="H54" s="15"/>
      <c r="I54" s="15">
        <f t="shared" si="1"/>
        <v>0</v>
      </c>
      <c r="J54" s="15"/>
      <c r="K54" s="15">
        <f t="shared" si="16"/>
        <v>0</v>
      </c>
      <c r="L54" s="15"/>
      <c r="M54" s="15">
        <f t="shared" si="2"/>
        <v>0</v>
      </c>
      <c r="N54" s="15"/>
      <c r="O54" s="15">
        <f t="shared" si="3"/>
        <v>0</v>
      </c>
      <c r="P54" s="15">
        <v>2</v>
      </c>
      <c r="Q54" s="15">
        <f t="shared" si="4"/>
        <v>0</v>
      </c>
      <c r="R54" s="15"/>
      <c r="S54" s="15">
        <f t="shared" si="5"/>
        <v>0</v>
      </c>
      <c r="T54" s="15"/>
      <c r="U54" s="15">
        <f t="shared" si="6"/>
        <v>0</v>
      </c>
      <c r="V54" s="15">
        <f t="shared" si="19"/>
        <v>0</v>
      </c>
      <c r="W54" s="17"/>
      <c r="X54" s="17"/>
      <c r="Y54" s="18">
        <v>0.05</v>
      </c>
      <c r="Z54" s="1">
        <f t="shared" si="8"/>
        <v>0</v>
      </c>
      <c r="AA54" s="21"/>
      <c r="AB54" s="1">
        <f t="shared" ref="AB54:AB61" si="21">AD54*AA54</f>
        <v>0</v>
      </c>
      <c r="AC54" s="21"/>
      <c r="AE54" s="19"/>
      <c r="AF54" s="20">
        <f>SUMIF('[1]G-Chart'!G:G,[1]Capacity!D54,'[1]G-Chart'!L:L)</f>
        <v>-1193</v>
      </c>
      <c r="AG54" s="2">
        <f t="shared" si="9"/>
        <v>0</v>
      </c>
      <c r="AH54" s="2">
        <f t="shared" si="10"/>
        <v>0</v>
      </c>
      <c r="AI54" s="2">
        <f t="shared" si="11"/>
        <v>0</v>
      </c>
      <c r="AJ54" s="1">
        <v>0</v>
      </c>
      <c r="AK54" s="1">
        <f t="shared" si="13"/>
        <v>0</v>
      </c>
      <c r="AL54" s="1">
        <f t="shared" si="14"/>
        <v>0</v>
      </c>
      <c r="AM54" s="1">
        <f t="shared" si="17"/>
        <v>-2386</v>
      </c>
    </row>
    <row r="55" spans="1:39" x14ac:dyDescent="0.3">
      <c r="A55" s="12">
        <v>53</v>
      </c>
      <c r="B55" s="12" t="s">
        <v>171</v>
      </c>
      <c r="C55" s="13" t="s">
        <v>178</v>
      </c>
      <c r="D55" s="23" t="s">
        <v>179</v>
      </c>
      <c r="E55" s="14" t="s">
        <v>180</v>
      </c>
      <c r="F55" s="15">
        <f t="shared" si="20"/>
        <v>0</v>
      </c>
      <c r="G55" s="16">
        <f t="shared" si="15"/>
        <v>2</v>
      </c>
      <c r="H55" s="15"/>
      <c r="I55" s="15">
        <f t="shared" si="1"/>
        <v>0</v>
      </c>
      <c r="J55" s="15"/>
      <c r="K55" s="15">
        <f t="shared" si="16"/>
        <v>0</v>
      </c>
      <c r="L55" s="15"/>
      <c r="M55" s="15">
        <f t="shared" si="2"/>
        <v>0</v>
      </c>
      <c r="N55" s="15"/>
      <c r="O55" s="15">
        <f t="shared" si="3"/>
        <v>0</v>
      </c>
      <c r="P55" s="15">
        <v>2</v>
      </c>
      <c r="Q55" s="15">
        <f t="shared" si="4"/>
        <v>0</v>
      </c>
      <c r="R55" s="15"/>
      <c r="S55" s="15">
        <f t="shared" si="5"/>
        <v>0</v>
      </c>
      <c r="T55" s="15"/>
      <c r="U55" s="15">
        <f t="shared" si="6"/>
        <v>0</v>
      </c>
      <c r="V55" s="15">
        <f t="shared" si="19"/>
        <v>0</v>
      </c>
      <c r="W55" s="17"/>
      <c r="X55" s="17"/>
      <c r="Y55" s="18">
        <v>4.2000000000000003E-2</v>
      </c>
      <c r="Z55" s="1">
        <f t="shared" si="8"/>
        <v>0</v>
      </c>
      <c r="AA55" s="21"/>
      <c r="AB55" s="1">
        <f t="shared" si="21"/>
        <v>0</v>
      </c>
      <c r="AC55" s="21"/>
      <c r="AE55" s="19"/>
      <c r="AF55" s="20">
        <f>SUMIF('[1]G-Chart'!G:G,[1]Capacity!D55,'[1]G-Chart'!L:L)</f>
        <v>-1193</v>
      </c>
      <c r="AG55" s="2">
        <f t="shared" si="9"/>
        <v>0</v>
      </c>
      <c r="AH55" s="2">
        <f t="shared" si="10"/>
        <v>0</v>
      </c>
      <c r="AI55" s="2">
        <f t="shared" si="11"/>
        <v>0</v>
      </c>
      <c r="AJ55" s="1">
        <v>0</v>
      </c>
      <c r="AK55" s="1">
        <f t="shared" si="13"/>
        <v>0</v>
      </c>
      <c r="AL55" s="1">
        <f t="shared" si="14"/>
        <v>0</v>
      </c>
      <c r="AM55" s="1">
        <f t="shared" si="17"/>
        <v>-2386</v>
      </c>
    </row>
    <row r="56" spans="1:39" x14ac:dyDescent="0.3">
      <c r="A56" s="12">
        <v>54</v>
      </c>
      <c r="B56" s="12" t="s">
        <v>171</v>
      </c>
      <c r="C56" s="13" t="s">
        <v>181</v>
      </c>
      <c r="D56" s="23" t="s">
        <v>182</v>
      </c>
      <c r="E56" s="14" t="s">
        <v>183</v>
      </c>
      <c r="F56" s="15">
        <f t="shared" si="20"/>
        <v>0</v>
      </c>
      <c r="G56" s="16">
        <f t="shared" si="15"/>
        <v>2</v>
      </c>
      <c r="H56" s="15"/>
      <c r="I56" s="15">
        <f t="shared" si="1"/>
        <v>0</v>
      </c>
      <c r="J56" s="15"/>
      <c r="K56" s="15">
        <f t="shared" si="16"/>
        <v>0</v>
      </c>
      <c r="L56" s="15"/>
      <c r="M56" s="15">
        <f t="shared" si="2"/>
        <v>0</v>
      </c>
      <c r="N56" s="15"/>
      <c r="O56" s="15">
        <f t="shared" si="3"/>
        <v>0</v>
      </c>
      <c r="P56" s="15">
        <v>2</v>
      </c>
      <c r="Q56" s="15">
        <f t="shared" si="4"/>
        <v>0</v>
      </c>
      <c r="R56" s="15"/>
      <c r="S56" s="15">
        <f t="shared" si="5"/>
        <v>0</v>
      </c>
      <c r="T56" s="15"/>
      <c r="U56" s="15">
        <f t="shared" si="6"/>
        <v>0</v>
      </c>
      <c r="V56" s="15">
        <f t="shared" si="19"/>
        <v>0</v>
      </c>
      <c r="W56" s="17"/>
      <c r="X56" s="17"/>
      <c r="Y56" s="18">
        <v>4.2000000000000003E-2</v>
      </c>
      <c r="Z56" s="1">
        <f t="shared" si="8"/>
        <v>0</v>
      </c>
      <c r="AA56" s="21"/>
      <c r="AB56" s="1">
        <f t="shared" si="21"/>
        <v>0</v>
      </c>
      <c r="AC56" s="21"/>
      <c r="AE56" s="19"/>
      <c r="AF56" s="20">
        <f>SUMIF('[1]G-Chart'!G:G,[1]Capacity!D56,'[1]G-Chart'!L:L)</f>
        <v>-1175</v>
      </c>
      <c r="AG56" s="2">
        <f t="shared" si="9"/>
        <v>0</v>
      </c>
      <c r="AH56" s="2">
        <f t="shared" si="10"/>
        <v>0</v>
      </c>
      <c r="AI56" s="2">
        <f t="shared" si="11"/>
        <v>0</v>
      </c>
      <c r="AJ56" s="1">
        <v>0</v>
      </c>
      <c r="AK56" s="1">
        <f t="shared" si="13"/>
        <v>0</v>
      </c>
      <c r="AL56" s="1">
        <f t="shared" si="14"/>
        <v>0</v>
      </c>
      <c r="AM56" s="1">
        <f t="shared" si="17"/>
        <v>-2350</v>
      </c>
    </row>
    <row r="57" spans="1:39" x14ac:dyDescent="0.3">
      <c r="A57" s="12">
        <v>55</v>
      </c>
      <c r="B57" s="12" t="s">
        <v>171</v>
      </c>
      <c r="C57" s="13"/>
      <c r="D57" s="23" t="s">
        <v>184</v>
      </c>
      <c r="E57" s="14" t="s">
        <v>185</v>
      </c>
      <c r="F57" s="15">
        <f t="shared" si="20"/>
        <v>0</v>
      </c>
      <c r="G57" s="16">
        <f t="shared" si="15"/>
        <v>2</v>
      </c>
      <c r="H57" s="15"/>
      <c r="I57" s="15">
        <f t="shared" si="1"/>
        <v>0</v>
      </c>
      <c r="J57" s="15">
        <v>2</v>
      </c>
      <c r="K57" s="15">
        <f t="shared" si="16"/>
        <v>0</v>
      </c>
      <c r="L57" s="15"/>
      <c r="M57" s="15">
        <f t="shared" si="2"/>
        <v>0</v>
      </c>
      <c r="N57" s="15"/>
      <c r="O57" s="15">
        <f t="shared" si="3"/>
        <v>0</v>
      </c>
      <c r="P57" s="15"/>
      <c r="Q57" s="15">
        <f t="shared" si="4"/>
        <v>0</v>
      </c>
      <c r="R57" s="15"/>
      <c r="S57" s="15">
        <f t="shared" si="5"/>
        <v>0</v>
      </c>
      <c r="T57" s="15"/>
      <c r="U57" s="15">
        <f t="shared" si="6"/>
        <v>0</v>
      </c>
      <c r="V57" s="15">
        <f t="shared" si="19"/>
        <v>0</v>
      </c>
      <c r="W57" s="17"/>
      <c r="X57" s="17"/>
      <c r="Y57" s="18">
        <v>0.13200000000000001</v>
      </c>
      <c r="Z57" s="1">
        <f t="shared" si="8"/>
        <v>0</v>
      </c>
      <c r="AA57" s="21"/>
      <c r="AB57" s="1">
        <f t="shared" si="21"/>
        <v>0</v>
      </c>
      <c r="AC57" s="21"/>
      <c r="AE57" s="19"/>
      <c r="AF57" s="20">
        <f>SUMIF('[1]G-Chart'!G:G,[1]Capacity!D57,'[1]G-Chart'!L:L)</f>
        <v>-1284</v>
      </c>
      <c r="AG57" s="2">
        <v>0</v>
      </c>
      <c r="AH57" s="2">
        <f t="shared" si="10"/>
        <v>0</v>
      </c>
      <c r="AI57" s="2">
        <f t="shared" si="11"/>
        <v>0</v>
      </c>
      <c r="AJ57" s="1">
        <f t="shared" si="12"/>
        <v>0</v>
      </c>
      <c r="AK57" s="1">
        <f t="shared" si="13"/>
        <v>0</v>
      </c>
      <c r="AL57" s="1">
        <f t="shared" si="14"/>
        <v>0</v>
      </c>
      <c r="AM57" s="1">
        <f t="shared" si="17"/>
        <v>-2568</v>
      </c>
    </row>
    <row r="58" spans="1:39" x14ac:dyDescent="0.3">
      <c r="A58" s="12">
        <v>56</v>
      </c>
      <c r="B58" s="12" t="s">
        <v>171</v>
      </c>
      <c r="C58" s="13"/>
      <c r="D58" s="23" t="s">
        <v>186</v>
      </c>
      <c r="E58" s="14" t="s">
        <v>187</v>
      </c>
      <c r="F58" s="15">
        <f t="shared" si="20"/>
        <v>0</v>
      </c>
      <c r="G58" s="16">
        <f t="shared" si="15"/>
        <v>2</v>
      </c>
      <c r="H58" s="15"/>
      <c r="I58" s="15">
        <f t="shared" si="1"/>
        <v>0</v>
      </c>
      <c r="J58" s="15">
        <v>2</v>
      </c>
      <c r="K58" s="15">
        <f t="shared" si="16"/>
        <v>0</v>
      </c>
      <c r="L58" s="15"/>
      <c r="M58" s="15">
        <f t="shared" si="2"/>
        <v>0</v>
      </c>
      <c r="N58" s="15"/>
      <c r="O58" s="15">
        <f t="shared" si="3"/>
        <v>0</v>
      </c>
      <c r="P58" s="15"/>
      <c r="Q58" s="15">
        <f t="shared" si="4"/>
        <v>0</v>
      </c>
      <c r="R58" s="15"/>
      <c r="S58" s="15">
        <f t="shared" si="5"/>
        <v>0</v>
      </c>
      <c r="T58" s="15"/>
      <c r="U58" s="15">
        <f t="shared" si="6"/>
        <v>0</v>
      </c>
      <c r="V58" s="15">
        <f t="shared" si="19"/>
        <v>0</v>
      </c>
      <c r="W58" s="17"/>
      <c r="X58" s="17"/>
      <c r="Y58" s="18">
        <v>4.5999999999999999E-2</v>
      </c>
      <c r="Z58" s="1">
        <f t="shared" si="8"/>
        <v>0</v>
      </c>
      <c r="AA58" s="21"/>
      <c r="AB58" s="1">
        <f t="shared" si="21"/>
        <v>0</v>
      </c>
      <c r="AC58" s="21"/>
      <c r="AE58" s="19"/>
      <c r="AF58" s="20">
        <f>SUMIF('[1]G-Chart'!G:G,[1]Capacity!D58,'[1]G-Chart'!L:L)</f>
        <v>-1284</v>
      </c>
      <c r="AG58" s="2">
        <v>0</v>
      </c>
      <c r="AH58" s="2">
        <f t="shared" si="10"/>
        <v>0</v>
      </c>
      <c r="AI58" s="2">
        <f t="shared" si="11"/>
        <v>0</v>
      </c>
      <c r="AJ58" s="1">
        <f t="shared" si="12"/>
        <v>0</v>
      </c>
      <c r="AK58" s="1">
        <f t="shared" si="13"/>
        <v>0</v>
      </c>
      <c r="AL58" s="1">
        <f t="shared" si="14"/>
        <v>0</v>
      </c>
      <c r="AM58" s="1">
        <f t="shared" si="17"/>
        <v>-2568</v>
      </c>
    </row>
    <row r="59" spans="1:39" x14ac:dyDescent="0.3">
      <c r="A59" s="12">
        <v>57</v>
      </c>
      <c r="B59" s="12" t="s">
        <v>171</v>
      </c>
      <c r="C59" s="13"/>
      <c r="D59" s="23" t="s">
        <v>188</v>
      </c>
      <c r="E59" s="14" t="s">
        <v>189</v>
      </c>
      <c r="F59" s="15">
        <f t="shared" si="20"/>
        <v>0</v>
      </c>
      <c r="G59" s="16">
        <f t="shared" si="15"/>
        <v>2</v>
      </c>
      <c r="H59" s="15"/>
      <c r="I59" s="15">
        <f t="shared" si="1"/>
        <v>0</v>
      </c>
      <c r="J59" s="15">
        <v>2</v>
      </c>
      <c r="K59" s="15">
        <f t="shared" si="16"/>
        <v>0</v>
      </c>
      <c r="L59" s="15"/>
      <c r="M59" s="15">
        <f t="shared" si="2"/>
        <v>0</v>
      </c>
      <c r="N59" s="15"/>
      <c r="O59" s="15">
        <f t="shared" si="3"/>
        <v>0</v>
      </c>
      <c r="P59" s="15"/>
      <c r="Q59" s="15">
        <f t="shared" si="4"/>
        <v>0</v>
      </c>
      <c r="R59" s="15"/>
      <c r="S59" s="15">
        <f t="shared" si="5"/>
        <v>0</v>
      </c>
      <c r="T59" s="15"/>
      <c r="U59" s="15">
        <f t="shared" si="6"/>
        <v>0</v>
      </c>
      <c r="V59" s="15">
        <f t="shared" si="19"/>
        <v>0</v>
      </c>
      <c r="W59" s="17"/>
      <c r="X59" s="17"/>
      <c r="Y59" s="18">
        <v>4.4999999999999998E-2</v>
      </c>
      <c r="Z59" s="1">
        <f t="shared" si="8"/>
        <v>0</v>
      </c>
      <c r="AA59" s="21"/>
      <c r="AB59" s="1">
        <f t="shared" si="21"/>
        <v>0</v>
      </c>
      <c r="AC59" s="21"/>
      <c r="AE59" s="19"/>
      <c r="AF59" s="20">
        <f>SUMIF('[1]G-Chart'!G:G,[1]Capacity!D59,'[1]G-Chart'!L:L)</f>
        <v>-1284</v>
      </c>
      <c r="AG59" s="2">
        <v>0</v>
      </c>
      <c r="AH59" s="2">
        <f t="shared" si="10"/>
        <v>0</v>
      </c>
      <c r="AI59" s="2">
        <f t="shared" si="11"/>
        <v>0</v>
      </c>
      <c r="AJ59" s="1">
        <f t="shared" si="12"/>
        <v>0</v>
      </c>
      <c r="AK59" s="1">
        <f t="shared" si="13"/>
        <v>0</v>
      </c>
      <c r="AL59" s="1">
        <f t="shared" si="14"/>
        <v>0</v>
      </c>
      <c r="AM59" s="1">
        <f t="shared" si="17"/>
        <v>-2568</v>
      </c>
    </row>
    <row r="60" spans="1:39" x14ac:dyDescent="0.3">
      <c r="A60" s="12">
        <v>58</v>
      </c>
      <c r="B60" s="12" t="s">
        <v>171</v>
      </c>
      <c r="C60" s="13"/>
      <c r="D60" s="23" t="s">
        <v>190</v>
      </c>
      <c r="E60" s="14" t="s">
        <v>191</v>
      </c>
      <c r="F60" s="15">
        <f t="shared" si="20"/>
        <v>0</v>
      </c>
      <c r="G60" s="16">
        <f t="shared" si="15"/>
        <v>2</v>
      </c>
      <c r="H60" s="15"/>
      <c r="I60" s="15">
        <f t="shared" si="1"/>
        <v>0</v>
      </c>
      <c r="J60" s="15">
        <v>2</v>
      </c>
      <c r="K60" s="15">
        <f t="shared" si="16"/>
        <v>0</v>
      </c>
      <c r="L60" s="15"/>
      <c r="M60" s="15">
        <f t="shared" si="2"/>
        <v>0</v>
      </c>
      <c r="N60" s="15"/>
      <c r="O60" s="15">
        <f t="shared" si="3"/>
        <v>0</v>
      </c>
      <c r="P60" s="15"/>
      <c r="Q60" s="15">
        <f t="shared" si="4"/>
        <v>0</v>
      </c>
      <c r="R60" s="15"/>
      <c r="S60" s="15">
        <f t="shared" si="5"/>
        <v>0</v>
      </c>
      <c r="T60" s="15"/>
      <c r="U60" s="15">
        <f t="shared" si="6"/>
        <v>0</v>
      </c>
      <c r="V60" s="15">
        <f t="shared" si="19"/>
        <v>0</v>
      </c>
      <c r="W60" s="17"/>
      <c r="X60" s="17"/>
      <c r="Y60" s="18">
        <v>0.13200000000000001</v>
      </c>
      <c r="Z60" s="1">
        <f t="shared" si="8"/>
        <v>0</v>
      </c>
      <c r="AA60" s="21"/>
      <c r="AB60" s="1">
        <f t="shared" si="21"/>
        <v>0</v>
      </c>
      <c r="AC60" s="21"/>
      <c r="AE60" s="19"/>
      <c r="AF60" s="20">
        <f>SUMIF('[1]G-Chart'!G:G,[1]Capacity!D60,'[1]G-Chart'!L:L)</f>
        <v>-1175</v>
      </c>
      <c r="AG60" s="2">
        <v>0</v>
      </c>
      <c r="AH60" s="2">
        <f t="shared" si="10"/>
        <v>0</v>
      </c>
      <c r="AI60" s="2">
        <f t="shared" si="11"/>
        <v>0</v>
      </c>
      <c r="AJ60" s="1">
        <f t="shared" si="12"/>
        <v>0</v>
      </c>
      <c r="AK60" s="1">
        <f t="shared" si="13"/>
        <v>0</v>
      </c>
      <c r="AL60" s="1">
        <f t="shared" si="14"/>
        <v>0</v>
      </c>
      <c r="AM60" s="1">
        <f t="shared" si="17"/>
        <v>-2350</v>
      </c>
    </row>
    <row r="61" spans="1:39" x14ac:dyDescent="0.3">
      <c r="A61" s="12">
        <v>59</v>
      </c>
      <c r="B61" s="12" t="s">
        <v>171</v>
      </c>
      <c r="C61" s="13"/>
      <c r="D61" s="23" t="s">
        <v>192</v>
      </c>
      <c r="E61" s="14" t="s">
        <v>193</v>
      </c>
      <c r="F61" s="15">
        <f t="shared" si="20"/>
        <v>0</v>
      </c>
      <c r="G61" s="16">
        <f t="shared" si="15"/>
        <v>2</v>
      </c>
      <c r="H61" s="15"/>
      <c r="I61" s="15">
        <f t="shared" si="1"/>
        <v>0</v>
      </c>
      <c r="J61" s="15">
        <v>2</v>
      </c>
      <c r="K61" s="15">
        <f t="shared" si="16"/>
        <v>0</v>
      </c>
      <c r="L61" s="15"/>
      <c r="M61" s="15">
        <f t="shared" si="2"/>
        <v>0</v>
      </c>
      <c r="N61" s="15"/>
      <c r="O61" s="15">
        <f t="shared" si="3"/>
        <v>0</v>
      </c>
      <c r="P61" s="15"/>
      <c r="Q61" s="15">
        <f t="shared" si="4"/>
        <v>0</v>
      </c>
      <c r="R61" s="15"/>
      <c r="S61" s="15">
        <f t="shared" si="5"/>
        <v>0</v>
      </c>
      <c r="T61" s="15"/>
      <c r="U61" s="15">
        <f t="shared" si="6"/>
        <v>0</v>
      </c>
      <c r="V61" s="15">
        <f t="shared" si="19"/>
        <v>0</v>
      </c>
      <c r="W61" s="17"/>
      <c r="X61" s="17"/>
      <c r="Y61" s="18">
        <v>0.15</v>
      </c>
      <c r="Z61" s="1">
        <f t="shared" si="8"/>
        <v>0</v>
      </c>
      <c r="AA61" s="21"/>
      <c r="AB61" s="1">
        <f t="shared" si="21"/>
        <v>0</v>
      </c>
      <c r="AC61" s="21"/>
      <c r="AE61" s="19"/>
      <c r="AF61" s="20">
        <f>SUMIF('[1]G-Chart'!G:G,[1]Capacity!D61,'[1]G-Chart'!L:L)</f>
        <v>-4429</v>
      </c>
      <c r="AG61" s="2">
        <v>0</v>
      </c>
      <c r="AH61" s="2">
        <f t="shared" si="10"/>
        <v>0</v>
      </c>
      <c r="AI61" s="2">
        <f t="shared" si="11"/>
        <v>0</v>
      </c>
      <c r="AJ61" s="1">
        <f t="shared" si="12"/>
        <v>0</v>
      </c>
      <c r="AK61" s="1">
        <f t="shared" si="13"/>
        <v>0</v>
      </c>
      <c r="AL61" s="1">
        <f t="shared" si="14"/>
        <v>0</v>
      </c>
      <c r="AM61" s="1">
        <f t="shared" si="17"/>
        <v>-8858</v>
      </c>
    </row>
    <row r="62" spans="1:39" x14ac:dyDescent="0.3">
      <c r="A62" s="12">
        <v>60</v>
      </c>
      <c r="B62" s="12" t="s">
        <v>171</v>
      </c>
      <c r="C62" s="13" t="s">
        <v>194</v>
      </c>
      <c r="D62" s="13" t="s">
        <v>194</v>
      </c>
      <c r="E62" s="14" t="s">
        <v>195</v>
      </c>
      <c r="F62" s="15">
        <f t="shared" si="20"/>
        <v>3011</v>
      </c>
      <c r="G62" s="16">
        <f t="shared" si="15"/>
        <v>3</v>
      </c>
      <c r="H62" s="15"/>
      <c r="I62" s="15">
        <f t="shared" si="1"/>
        <v>0</v>
      </c>
      <c r="J62" s="15"/>
      <c r="K62" s="15">
        <f t="shared" si="16"/>
        <v>0</v>
      </c>
      <c r="L62" s="15"/>
      <c r="M62" s="15">
        <f t="shared" si="2"/>
        <v>0</v>
      </c>
      <c r="N62" s="15"/>
      <c r="O62" s="15">
        <f t="shared" si="3"/>
        <v>0</v>
      </c>
      <c r="P62" s="15">
        <v>2</v>
      </c>
      <c r="Q62" s="15">
        <f t="shared" si="4"/>
        <v>6022</v>
      </c>
      <c r="R62" s="15"/>
      <c r="S62" s="15">
        <f t="shared" si="5"/>
        <v>0</v>
      </c>
      <c r="T62" s="15">
        <v>1</v>
      </c>
      <c r="U62" s="15">
        <f t="shared" si="6"/>
        <v>3011</v>
      </c>
      <c r="V62" s="15">
        <f t="shared" si="19"/>
        <v>9033</v>
      </c>
      <c r="W62" s="17"/>
      <c r="X62" s="17"/>
      <c r="Y62" s="18">
        <v>0.19700000000000001</v>
      </c>
      <c r="Z62" s="1">
        <f t="shared" si="8"/>
        <v>120.44</v>
      </c>
      <c r="AA62" s="21">
        <v>1</v>
      </c>
      <c r="AB62" s="1">
        <f>AD62*AA62</f>
        <v>3011</v>
      </c>
      <c r="AC62" s="30"/>
      <c r="AD62" s="31">
        <v>3011</v>
      </c>
      <c r="AE62" s="32" t="s">
        <v>196</v>
      </c>
      <c r="AF62" s="20">
        <f>SUMIF('[1]G-Chart'!G:G,[1]Capacity!D62,'[1]G-Chart'!L:L)</f>
        <v>2477</v>
      </c>
      <c r="AG62" s="2">
        <f t="shared" si="9"/>
        <v>0</v>
      </c>
      <c r="AH62" s="2">
        <f t="shared" si="10"/>
        <v>0</v>
      </c>
      <c r="AI62" s="2">
        <f t="shared" si="11"/>
        <v>0</v>
      </c>
      <c r="AJ62" s="1">
        <f t="shared" si="12"/>
        <v>4954</v>
      </c>
      <c r="AK62" s="1">
        <f t="shared" si="13"/>
        <v>0</v>
      </c>
      <c r="AL62" s="1">
        <f t="shared" si="14"/>
        <v>2477</v>
      </c>
      <c r="AM62" s="1">
        <f t="shared" si="17"/>
        <v>7431</v>
      </c>
    </row>
    <row r="63" spans="1:39" x14ac:dyDescent="0.3">
      <c r="A63" s="12">
        <v>61</v>
      </c>
      <c r="B63" s="12" t="s">
        <v>171</v>
      </c>
      <c r="C63" s="13"/>
      <c r="D63" s="13" t="s">
        <v>197</v>
      </c>
      <c r="E63" s="14" t="s">
        <v>198</v>
      </c>
      <c r="F63" s="15">
        <f t="shared" si="20"/>
        <v>175</v>
      </c>
      <c r="G63" s="16">
        <f t="shared" si="15"/>
        <v>2</v>
      </c>
      <c r="H63" s="15"/>
      <c r="I63" s="15">
        <f t="shared" si="1"/>
        <v>0</v>
      </c>
      <c r="J63" s="15"/>
      <c r="K63" s="15">
        <f t="shared" si="16"/>
        <v>0</v>
      </c>
      <c r="L63" s="15">
        <v>2</v>
      </c>
      <c r="M63" s="15">
        <f t="shared" si="2"/>
        <v>350</v>
      </c>
      <c r="N63" s="15"/>
      <c r="O63" s="15">
        <f t="shared" si="3"/>
        <v>0</v>
      </c>
      <c r="P63" s="15"/>
      <c r="Q63" s="15">
        <f t="shared" si="4"/>
        <v>0</v>
      </c>
      <c r="R63" s="15"/>
      <c r="S63" s="15">
        <f t="shared" si="5"/>
        <v>0</v>
      </c>
      <c r="T63" s="15"/>
      <c r="U63" s="15">
        <f t="shared" si="6"/>
        <v>0</v>
      </c>
      <c r="V63" s="15">
        <f t="shared" si="19"/>
        <v>350</v>
      </c>
      <c r="W63" s="17"/>
      <c r="X63" s="17"/>
      <c r="Y63" s="18">
        <v>0.66100000000000003</v>
      </c>
      <c r="Z63" s="1">
        <f t="shared" si="8"/>
        <v>7</v>
      </c>
      <c r="AA63" s="21">
        <v>1</v>
      </c>
      <c r="AB63" s="1">
        <f>AD63*AA63</f>
        <v>175</v>
      </c>
      <c r="AC63" s="30"/>
      <c r="AD63" s="31">
        <v>175</v>
      </c>
      <c r="AE63" s="33" t="s">
        <v>199</v>
      </c>
      <c r="AF63" s="20">
        <f>SUMIF('[1]G-Chart'!G:G,[1]Capacity!D63,'[1]G-Chart'!L:L)</f>
        <v>296</v>
      </c>
      <c r="AG63" s="2">
        <f t="shared" si="9"/>
        <v>0</v>
      </c>
      <c r="AH63" s="2">
        <f t="shared" si="10"/>
        <v>592</v>
      </c>
      <c r="AI63" s="2">
        <f t="shared" si="11"/>
        <v>0</v>
      </c>
      <c r="AJ63" s="1">
        <f t="shared" si="12"/>
        <v>0</v>
      </c>
      <c r="AK63" s="1">
        <f t="shared" si="13"/>
        <v>0</v>
      </c>
      <c r="AL63" s="1">
        <f t="shared" si="14"/>
        <v>0</v>
      </c>
      <c r="AM63" s="1">
        <f t="shared" si="17"/>
        <v>592</v>
      </c>
    </row>
    <row r="64" spans="1:39" x14ac:dyDescent="0.3">
      <c r="A64" s="12">
        <v>62</v>
      </c>
      <c r="B64" s="12" t="s">
        <v>200</v>
      </c>
      <c r="C64" s="13"/>
      <c r="D64" s="13" t="s">
        <v>201</v>
      </c>
      <c r="E64" s="14" t="s">
        <v>202</v>
      </c>
      <c r="F64" s="15">
        <f t="shared" si="20"/>
        <v>9600</v>
      </c>
      <c r="G64" s="16">
        <f t="shared" si="15"/>
        <v>1</v>
      </c>
      <c r="H64" s="15"/>
      <c r="I64" s="15">
        <f t="shared" si="1"/>
        <v>0</v>
      </c>
      <c r="J64" s="15">
        <v>0</v>
      </c>
      <c r="K64" s="15">
        <f t="shared" si="16"/>
        <v>0</v>
      </c>
      <c r="L64" s="15"/>
      <c r="M64" s="15">
        <f t="shared" si="2"/>
        <v>0</v>
      </c>
      <c r="N64" s="15">
        <v>0</v>
      </c>
      <c r="O64" s="15">
        <f t="shared" si="3"/>
        <v>0</v>
      </c>
      <c r="P64" s="15"/>
      <c r="Q64" s="15">
        <f t="shared" si="4"/>
        <v>0</v>
      </c>
      <c r="R64" s="15"/>
      <c r="S64" s="15">
        <f t="shared" si="5"/>
        <v>0</v>
      </c>
      <c r="T64" s="15">
        <v>1</v>
      </c>
      <c r="U64" s="15">
        <f t="shared" si="6"/>
        <v>9600</v>
      </c>
      <c r="V64" s="15">
        <f t="shared" si="19"/>
        <v>9600</v>
      </c>
      <c r="W64" s="17"/>
      <c r="X64" s="17"/>
      <c r="Y64" s="18">
        <v>4.2999999999999997E-2</v>
      </c>
      <c r="Z64" s="1">
        <f t="shared" si="8"/>
        <v>384</v>
      </c>
      <c r="AA64" s="21">
        <v>1</v>
      </c>
      <c r="AB64" s="1">
        <f>AA64*AD64+AD65</f>
        <v>9600</v>
      </c>
      <c r="AC64" s="30"/>
      <c r="AD64" s="31">
        <v>4800</v>
      </c>
      <c r="AE64" s="36" t="s">
        <v>203</v>
      </c>
      <c r="AF64" s="20">
        <f>SUMIF('[1]G-Chart'!G:G,[1]Capacity!D64,'[1]G-Chart'!L:L)</f>
        <v>1778</v>
      </c>
      <c r="AG64" s="2">
        <f t="shared" si="9"/>
        <v>0</v>
      </c>
      <c r="AH64" s="2">
        <f t="shared" si="10"/>
        <v>0</v>
      </c>
      <c r="AI64" s="2">
        <f t="shared" si="11"/>
        <v>0</v>
      </c>
      <c r="AJ64" s="1">
        <f t="shared" si="12"/>
        <v>0</v>
      </c>
      <c r="AK64" s="1">
        <f t="shared" si="13"/>
        <v>0</v>
      </c>
      <c r="AL64" s="1">
        <f t="shared" si="14"/>
        <v>1778</v>
      </c>
      <c r="AM64" s="1">
        <f t="shared" si="17"/>
        <v>1778</v>
      </c>
    </row>
    <row r="65" spans="1:39" x14ac:dyDescent="0.3">
      <c r="A65" s="12">
        <v>63</v>
      </c>
      <c r="B65" s="12" t="s">
        <v>200</v>
      </c>
      <c r="C65" s="13"/>
      <c r="D65" s="23" t="s">
        <v>204</v>
      </c>
      <c r="E65" s="14" t="s">
        <v>205</v>
      </c>
      <c r="F65" s="15">
        <f>AB65</f>
        <v>0</v>
      </c>
      <c r="G65" s="16">
        <f t="shared" si="15"/>
        <v>4</v>
      </c>
      <c r="H65" s="15"/>
      <c r="I65" s="15">
        <f t="shared" si="1"/>
        <v>0</v>
      </c>
      <c r="J65" s="15">
        <v>2</v>
      </c>
      <c r="K65" s="15">
        <f t="shared" si="16"/>
        <v>0</v>
      </c>
      <c r="L65" s="15"/>
      <c r="M65" s="15">
        <f t="shared" si="2"/>
        <v>0</v>
      </c>
      <c r="N65" s="15">
        <v>2</v>
      </c>
      <c r="O65" s="15">
        <f t="shared" si="3"/>
        <v>0</v>
      </c>
      <c r="P65" s="15"/>
      <c r="Q65" s="15">
        <f t="shared" si="4"/>
        <v>0</v>
      </c>
      <c r="R65" s="15"/>
      <c r="S65" s="15">
        <f t="shared" si="5"/>
        <v>0</v>
      </c>
      <c r="T65" s="15"/>
      <c r="U65" s="15">
        <f t="shared" si="6"/>
        <v>0</v>
      </c>
      <c r="V65" s="15">
        <f t="shared" si="19"/>
        <v>0</v>
      </c>
      <c r="W65" s="17"/>
      <c r="X65" s="17"/>
      <c r="Y65" s="18">
        <v>0.25900000000000001</v>
      </c>
      <c r="Z65" s="1">
        <f t="shared" si="8"/>
        <v>0</v>
      </c>
      <c r="AA65" s="21"/>
      <c r="AB65" s="1">
        <f>AD65*AA65</f>
        <v>0</v>
      </c>
      <c r="AC65" s="21"/>
      <c r="AD65" s="31">
        <v>4800</v>
      </c>
      <c r="AE65" s="33" t="s">
        <v>206</v>
      </c>
      <c r="AF65" s="20">
        <f>SUMIF('[1]G-Chart'!G:G,[1]Capacity!D65,'[1]G-Chart'!L:L)</f>
        <v>-2723</v>
      </c>
      <c r="AG65" s="2">
        <v>0</v>
      </c>
      <c r="AH65" s="2">
        <f t="shared" si="10"/>
        <v>0</v>
      </c>
      <c r="AI65" s="2">
        <v>0</v>
      </c>
      <c r="AJ65" s="1">
        <f t="shared" si="12"/>
        <v>0</v>
      </c>
      <c r="AK65" s="1">
        <f t="shared" si="13"/>
        <v>0</v>
      </c>
      <c r="AL65" s="1">
        <f t="shared" si="14"/>
        <v>0</v>
      </c>
      <c r="AM65" s="1">
        <f t="shared" si="17"/>
        <v>-10892</v>
      </c>
    </row>
    <row r="66" spans="1:39" x14ac:dyDescent="0.3">
      <c r="A66" s="12">
        <v>64</v>
      </c>
      <c r="B66" s="12" t="s">
        <v>171</v>
      </c>
      <c r="C66" s="13"/>
      <c r="D66" s="23" t="s">
        <v>207</v>
      </c>
      <c r="E66" s="14" t="s">
        <v>208</v>
      </c>
      <c r="F66" s="15">
        <f>AB66</f>
        <v>0</v>
      </c>
      <c r="G66" s="16">
        <f t="shared" si="15"/>
        <v>4</v>
      </c>
      <c r="H66" s="15"/>
      <c r="I66" s="15">
        <f t="shared" si="1"/>
        <v>0</v>
      </c>
      <c r="J66" s="15">
        <v>2</v>
      </c>
      <c r="K66" s="15">
        <f t="shared" si="16"/>
        <v>0</v>
      </c>
      <c r="L66" s="15"/>
      <c r="M66" s="15">
        <f t="shared" si="2"/>
        <v>0</v>
      </c>
      <c r="N66" s="15">
        <v>2</v>
      </c>
      <c r="O66" s="15">
        <f t="shared" si="3"/>
        <v>0</v>
      </c>
      <c r="P66" s="15"/>
      <c r="Q66" s="15">
        <f t="shared" si="4"/>
        <v>0</v>
      </c>
      <c r="R66" s="15"/>
      <c r="S66" s="15">
        <f t="shared" si="5"/>
        <v>0</v>
      </c>
      <c r="T66" s="15"/>
      <c r="U66" s="15">
        <f t="shared" si="6"/>
        <v>0</v>
      </c>
      <c r="V66" s="15">
        <f t="shared" si="19"/>
        <v>0</v>
      </c>
      <c r="W66" s="17"/>
      <c r="X66" s="17"/>
      <c r="Y66" s="18">
        <v>0.25700000000000001</v>
      </c>
      <c r="Z66" s="1">
        <f t="shared" si="8"/>
        <v>0</v>
      </c>
      <c r="AA66" s="21"/>
      <c r="AB66" s="1">
        <f>AD66*AA66</f>
        <v>0</v>
      </c>
      <c r="AC66" s="21"/>
      <c r="AE66" s="19"/>
      <c r="AF66" s="20">
        <f>SUMIF('[1]G-Chart'!G:G,[1]Capacity!D66,'[1]G-Chart'!L:L)</f>
        <v>-2774</v>
      </c>
      <c r="AG66" s="2">
        <v>0</v>
      </c>
      <c r="AH66" s="2">
        <f t="shared" si="10"/>
        <v>0</v>
      </c>
      <c r="AI66" s="2">
        <v>0</v>
      </c>
      <c r="AJ66" s="1">
        <f t="shared" si="12"/>
        <v>0</v>
      </c>
      <c r="AK66" s="1">
        <f t="shared" si="13"/>
        <v>0</v>
      </c>
      <c r="AL66" s="1">
        <f t="shared" si="14"/>
        <v>0</v>
      </c>
      <c r="AM66" s="1">
        <f t="shared" si="17"/>
        <v>-11096</v>
      </c>
    </row>
    <row r="67" spans="1:39" x14ac:dyDescent="0.3">
      <c r="A67" s="12">
        <v>65</v>
      </c>
      <c r="B67" s="12" t="s">
        <v>109</v>
      </c>
      <c r="C67" s="13" t="s">
        <v>209</v>
      </c>
      <c r="D67" s="23" t="s">
        <v>210</v>
      </c>
      <c r="E67" s="14" t="s">
        <v>211</v>
      </c>
      <c r="F67" s="15">
        <f>AB67</f>
        <v>0</v>
      </c>
      <c r="G67" s="16">
        <f t="shared" si="15"/>
        <v>2.5</v>
      </c>
      <c r="H67" s="15"/>
      <c r="I67" s="15">
        <f t="shared" ref="I67:I130" si="22">H67*F67</f>
        <v>0</v>
      </c>
      <c r="J67" s="15"/>
      <c r="K67" s="15">
        <f t="shared" si="16"/>
        <v>0</v>
      </c>
      <c r="L67" s="15"/>
      <c r="M67" s="15">
        <f t="shared" ref="M67:M130" si="23">L67*F67</f>
        <v>0</v>
      </c>
      <c r="N67" s="15">
        <v>2.5</v>
      </c>
      <c r="O67" s="15">
        <f t="shared" ref="O67:O130" si="24">N67*F67</f>
        <v>0</v>
      </c>
      <c r="P67" s="15"/>
      <c r="Q67" s="15">
        <f t="shared" ref="Q67:Q130" si="25">P67*F67</f>
        <v>0</v>
      </c>
      <c r="R67" s="15"/>
      <c r="S67" s="15">
        <f t="shared" ref="S67:S130" si="26">R67*F67</f>
        <v>0</v>
      </c>
      <c r="T67" s="15"/>
      <c r="U67" s="15">
        <f t="shared" ref="U67:U130" si="27">T67*F67</f>
        <v>0</v>
      </c>
      <c r="V67" s="15">
        <f t="shared" si="19"/>
        <v>0</v>
      </c>
      <c r="W67" s="17"/>
      <c r="X67" s="17"/>
      <c r="Y67" s="18">
        <v>6.5000000000000002E-2</v>
      </c>
      <c r="Z67" s="1">
        <f t="shared" ref="Z67:Z130" si="28">F67/25</f>
        <v>0</v>
      </c>
      <c r="AA67" s="21"/>
      <c r="AC67" s="21"/>
      <c r="AE67" s="19"/>
      <c r="AF67" s="20">
        <f>SUMIF('[1]G-Chart'!G:G,[1]Capacity!D67,'[1]G-Chart'!L:L)</f>
        <v>-83</v>
      </c>
      <c r="AG67" s="2">
        <f t="shared" ref="AG67:AG130" si="29">AF67*J67</f>
        <v>0</v>
      </c>
      <c r="AH67" s="2">
        <f t="shared" ref="AH67:AH130" si="30">AF67*L67</f>
        <v>0</v>
      </c>
      <c r="AI67" s="2">
        <v>0</v>
      </c>
      <c r="AJ67" s="1">
        <f t="shared" ref="AJ67:AJ130" si="31">AF67*P67</f>
        <v>0</v>
      </c>
      <c r="AK67" s="1">
        <f t="shared" ref="AK67:AK130" si="32">AF67*R67</f>
        <v>0</v>
      </c>
      <c r="AL67" s="1">
        <f t="shared" ref="AL67:AL130" si="33">AF67*T67</f>
        <v>0</v>
      </c>
      <c r="AM67" s="1">
        <f t="shared" si="17"/>
        <v>-207.5</v>
      </c>
    </row>
    <row r="68" spans="1:39" x14ac:dyDescent="0.3">
      <c r="A68" s="12">
        <v>66</v>
      </c>
      <c r="B68" s="12" t="s">
        <v>212</v>
      </c>
      <c r="C68" s="13"/>
      <c r="D68" s="13" t="s">
        <v>213</v>
      </c>
      <c r="E68" s="14" t="s">
        <v>214</v>
      </c>
      <c r="F68" s="15">
        <f>AB68</f>
        <v>0</v>
      </c>
      <c r="G68" s="16">
        <f t="shared" ref="G68:G131" si="34">H68+J68+L68+N68+P68+R68+T68</f>
        <v>4</v>
      </c>
      <c r="H68" s="15"/>
      <c r="I68" s="15">
        <f t="shared" si="22"/>
        <v>0</v>
      </c>
      <c r="J68" s="15">
        <v>2</v>
      </c>
      <c r="K68" s="15">
        <f t="shared" ref="K68:K131" si="35">F68*J68</f>
        <v>0</v>
      </c>
      <c r="L68" s="15"/>
      <c r="M68" s="15">
        <f t="shared" si="23"/>
        <v>0</v>
      </c>
      <c r="N68" s="15"/>
      <c r="O68" s="15">
        <f t="shared" si="24"/>
        <v>0</v>
      </c>
      <c r="P68" s="15"/>
      <c r="Q68" s="15">
        <f t="shared" si="25"/>
        <v>0</v>
      </c>
      <c r="R68" s="15"/>
      <c r="S68" s="15">
        <f t="shared" si="26"/>
        <v>0</v>
      </c>
      <c r="T68" s="15">
        <v>2</v>
      </c>
      <c r="U68" s="15">
        <f t="shared" si="27"/>
        <v>0</v>
      </c>
      <c r="V68" s="15">
        <f t="shared" si="19"/>
        <v>0</v>
      </c>
      <c r="W68" s="17"/>
      <c r="X68" s="17"/>
      <c r="Y68" s="18">
        <v>0.89</v>
      </c>
      <c r="Z68" s="1">
        <f t="shared" si="28"/>
        <v>0</v>
      </c>
      <c r="AA68" s="21"/>
      <c r="AC68" s="21"/>
      <c r="AE68" s="19"/>
      <c r="AF68" s="20">
        <f>SUMIF('[1]G-Chart'!G:G,[1]Capacity!D68,'[1]G-Chart'!L:L)</f>
        <v>0</v>
      </c>
      <c r="AG68" s="2">
        <f t="shared" si="29"/>
        <v>0</v>
      </c>
      <c r="AH68" s="2">
        <f t="shared" si="30"/>
        <v>0</v>
      </c>
      <c r="AI68" s="2">
        <f t="shared" ref="AI68:AI131" si="36">AF68*N68</f>
        <v>0</v>
      </c>
      <c r="AJ68" s="1">
        <f t="shared" si="31"/>
        <v>0</v>
      </c>
      <c r="AK68" s="1">
        <f t="shared" si="32"/>
        <v>0</v>
      </c>
      <c r="AL68" s="1">
        <f t="shared" si="33"/>
        <v>0</v>
      </c>
      <c r="AM68" s="1">
        <f t="shared" ref="AM68:AM131" si="37">AF68*G68</f>
        <v>0</v>
      </c>
    </row>
    <row r="69" spans="1:39" x14ac:dyDescent="0.3">
      <c r="A69" s="12">
        <v>67</v>
      </c>
      <c r="B69" s="12" t="s">
        <v>212</v>
      </c>
      <c r="C69" s="13"/>
      <c r="D69" s="13" t="s">
        <v>215</v>
      </c>
      <c r="E69" s="14" t="s">
        <v>216</v>
      </c>
      <c r="F69" s="15">
        <v>0</v>
      </c>
      <c r="G69" s="16">
        <f t="shared" si="34"/>
        <v>4</v>
      </c>
      <c r="H69" s="15"/>
      <c r="I69" s="15">
        <f t="shared" si="22"/>
        <v>0</v>
      </c>
      <c r="J69" s="15">
        <v>2</v>
      </c>
      <c r="K69" s="15">
        <f t="shared" si="35"/>
        <v>0</v>
      </c>
      <c r="L69" s="15"/>
      <c r="M69" s="15">
        <f t="shared" si="23"/>
        <v>0</v>
      </c>
      <c r="N69" s="15"/>
      <c r="O69" s="15">
        <f t="shared" si="24"/>
        <v>0</v>
      </c>
      <c r="P69" s="15"/>
      <c r="Q69" s="15">
        <f t="shared" si="25"/>
        <v>0</v>
      </c>
      <c r="R69" s="15"/>
      <c r="S69" s="15">
        <f t="shared" si="26"/>
        <v>0</v>
      </c>
      <c r="T69" s="15">
        <v>2</v>
      </c>
      <c r="U69" s="15">
        <f t="shared" si="27"/>
        <v>0</v>
      </c>
      <c r="V69" s="15">
        <f t="shared" si="19"/>
        <v>0</v>
      </c>
      <c r="W69" s="17"/>
      <c r="X69" s="17"/>
      <c r="Y69" s="18">
        <v>0.89</v>
      </c>
      <c r="Z69" s="1">
        <f t="shared" si="28"/>
        <v>0</v>
      </c>
      <c r="AA69" s="21"/>
      <c r="AC69" s="21"/>
      <c r="AE69" s="19"/>
      <c r="AF69" s="20">
        <f>SUMIF('[1]G-Chart'!G:G,[1]Capacity!D69,'[1]G-Chart'!L:L)</f>
        <v>0</v>
      </c>
      <c r="AG69" s="2">
        <f t="shared" si="29"/>
        <v>0</v>
      </c>
      <c r="AH69" s="2">
        <f t="shared" si="30"/>
        <v>0</v>
      </c>
      <c r="AI69" s="2">
        <f t="shared" si="36"/>
        <v>0</v>
      </c>
      <c r="AJ69" s="1">
        <f t="shared" si="31"/>
        <v>0</v>
      </c>
      <c r="AK69" s="1">
        <f t="shared" si="32"/>
        <v>0</v>
      </c>
      <c r="AL69" s="1">
        <f t="shared" si="33"/>
        <v>0</v>
      </c>
      <c r="AM69" s="1">
        <f t="shared" si="37"/>
        <v>0</v>
      </c>
    </row>
    <row r="70" spans="1:39" x14ac:dyDescent="0.3">
      <c r="A70" s="12">
        <v>68</v>
      </c>
      <c r="B70" s="12" t="s">
        <v>96</v>
      </c>
      <c r="C70" s="13" t="s">
        <v>217</v>
      </c>
      <c r="D70" s="23" t="s">
        <v>218</v>
      </c>
      <c r="E70" s="14" t="s">
        <v>219</v>
      </c>
      <c r="F70" s="15">
        <v>0</v>
      </c>
      <c r="G70" s="16">
        <f t="shared" si="34"/>
        <v>6</v>
      </c>
      <c r="H70" s="15"/>
      <c r="I70" s="15">
        <f t="shared" si="22"/>
        <v>0</v>
      </c>
      <c r="J70" s="15">
        <v>1</v>
      </c>
      <c r="K70" s="15">
        <f t="shared" si="35"/>
        <v>0</v>
      </c>
      <c r="L70" s="15">
        <v>1</v>
      </c>
      <c r="M70" s="15">
        <f t="shared" si="23"/>
        <v>0</v>
      </c>
      <c r="N70" s="15">
        <v>2</v>
      </c>
      <c r="O70" s="15">
        <f t="shared" si="24"/>
        <v>0</v>
      </c>
      <c r="P70" s="15">
        <v>2</v>
      </c>
      <c r="Q70" s="15">
        <f t="shared" si="25"/>
        <v>0</v>
      </c>
      <c r="R70" s="15"/>
      <c r="S70" s="15">
        <f t="shared" si="26"/>
        <v>0</v>
      </c>
      <c r="T70" s="15"/>
      <c r="U70" s="15">
        <f t="shared" si="27"/>
        <v>0</v>
      </c>
      <c r="V70" s="15">
        <f t="shared" si="19"/>
        <v>0</v>
      </c>
      <c r="W70" s="17"/>
      <c r="X70" s="17"/>
      <c r="Y70" s="18">
        <v>0.40400000000000003</v>
      </c>
      <c r="Z70" s="1">
        <f t="shared" si="28"/>
        <v>0</v>
      </c>
      <c r="AA70" s="21"/>
      <c r="AC70" s="21"/>
      <c r="AE70" s="19"/>
      <c r="AF70" s="20">
        <f>SUMIF('[1]G-Chart'!G:G,[1]Capacity!D70,'[1]G-Chart'!L:L)</f>
        <v>0</v>
      </c>
      <c r="AG70" s="2">
        <f t="shared" si="29"/>
        <v>0</v>
      </c>
      <c r="AH70" s="2">
        <f t="shared" si="30"/>
        <v>0</v>
      </c>
      <c r="AI70" s="2">
        <f t="shared" si="36"/>
        <v>0</v>
      </c>
      <c r="AJ70" s="1">
        <f t="shared" si="31"/>
        <v>0</v>
      </c>
      <c r="AK70" s="1">
        <f t="shared" si="32"/>
        <v>0</v>
      </c>
      <c r="AL70" s="1">
        <f t="shared" si="33"/>
        <v>0</v>
      </c>
      <c r="AM70" s="1">
        <f t="shared" si="37"/>
        <v>0</v>
      </c>
    </row>
    <row r="71" spans="1:39" x14ac:dyDescent="0.3">
      <c r="A71" s="12">
        <v>69</v>
      </c>
      <c r="B71" s="12" t="s">
        <v>167</v>
      </c>
      <c r="C71" s="13"/>
      <c r="D71" s="13" t="s">
        <v>220</v>
      </c>
      <c r="E71" s="14" t="s">
        <v>221</v>
      </c>
      <c r="F71" s="15">
        <f>AB71</f>
        <v>4961</v>
      </c>
      <c r="G71" s="16">
        <f t="shared" si="34"/>
        <v>3</v>
      </c>
      <c r="H71" s="15"/>
      <c r="I71" s="15">
        <f t="shared" si="22"/>
        <v>0</v>
      </c>
      <c r="J71" s="15"/>
      <c r="K71" s="15">
        <f t="shared" si="35"/>
        <v>0</v>
      </c>
      <c r="L71" s="15">
        <v>1</v>
      </c>
      <c r="M71" s="15">
        <f t="shared" si="23"/>
        <v>4961</v>
      </c>
      <c r="N71" s="15"/>
      <c r="O71" s="15">
        <f t="shared" si="24"/>
        <v>0</v>
      </c>
      <c r="P71" s="15">
        <v>1</v>
      </c>
      <c r="Q71" s="15">
        <f t="shared" si="25"/>
        <v>4961</v>
      </c>
      <c r="R71" s="15"/>
      <c r="S71" s="15">
        <f t="shared" si="26"/>
        <v>0</v>
      </c>
      <c r="T71" s="15">
        <v>1</v>
      </c>
      <c r="U71" s="15">
        <f t="shared" si="27"/>
        <v>4961</v>
      </c>
      <c r="V71" s="15">
        <f t="shared" si="19"/>
        <v>14883</v>
      </c>
      <c r="W71" s="17"/>
      <c r="X71" s="17"/>
      <c r="Y71" s="18">
        <v>3.5999999999999997E-2</v>
      </c>
      <c r="Z71" s="1">
        <f t="shared" si="28"/>
        <v>198.44</v>
      </c>
      <c r="AA71" s="21">
        <v>1</v>
      </c>
      <c r="AB71" s="1">
        <f>AD71*AA71</f>
        <v>4961</v>
      </c>
      <c r="AC71" s="30"/>
      <c r="AD71" s="31">
        <v>4961</v>
      </c>
      <c r="AE71" s="36" t="s">
        <v>222</v>
      </c>
      <c r="AF71" s="20">
        <f>SUMIF('[1]G-Chart'!G:G,[1]Capacity!D71,'[1]G-Chart'!L:L)</f>
        <v>992</v>
      </c>
      <c r="AG71" s="2">
        <f t="shared" si="29"/>
        <v>0</v>
      </c>
      <c r="AH71" s="2">
        <f t="shared" si="30"/>
        <v>992</v>
      </c>
      <c r="AI71" s="2">
        <f t="shared" si="36"/>
        <v>0</v>
      </c>
      <c r="AJ71" s="1">
        <f t="shared" si="31"/>
        <v>992</v>
      </c>
      <c r="AK71" s="1">
        <f t="shared" si="32"/>
        <v>0</v>
      </c>
      <c r="AL71" s="1">
        <f t="shared" si="33"/>
        <v>992</v>
      </c>
      <c r="AM71" s="1">
        <f t="shared" si="37"/>
        <v>2976</v>
      </c>
    </row>
    <row r="72" spans="1:39" x14ac:dyDescent="0.3">
      <c r="A72" s="12">
        <v>70</v>
      </c>
      <c r="B72" s="12" t="s">
        <v>26</v>
      </c>
      <c r="C72" s="13" t="s">
        <v>223</v>
      </c>
      <c r="D72" s="13" t="s">
        <v>223</v>
      </c>
      <c r="E72" s="14" t="s">
        <v>224</v>
      </c>
      <c r="F72" s="15">
        <v>0</v>
      </c>
      <c r="G72" s="16">
        <f t="shared" si="34"/>
        <v>2</v>
      </c>
      <c r="H72" s="15"/>
      <c r="I72" s="15">
        <f t="shared" si="22"/>
        <v>0</v>
      </c>
      <c r="J72" s="15">
        <v>0.5</v>
      </c>
      <c r="K72" s="15">
        <f t="shared" si="35"/>
        <v>0</v>
      </c>
      <c r="L72" s="15">
        <v>1.5</v>
      </c>
      <c r="M72" s="15">
        <f t="shared" si="23"/>
        <v>0</v>
      </c>
      <c r="N72" s="15"/>
      <c r="O72" s="15">
        <f t="shared" si="24"/>
        <v>0</v>
      </c>
      <c r="P72" s="15"/>
      <c r="Q72" s="15">
        <f t="shared" si="25"/>
        <v>0</v>
      </c>
      <c r="R72" s="15"/>
      <c r="S72" s="15">
        <f t="shared" si="26"/>
        <v>0</v>
      </c>
      <c r="T72" s="15"/>
      <c r="U72" s="15">
        <f t="shared" si="27"/>
        <v>0</v>
      </c>
      <c r="V72" s="15">
        <f t="shared" si="19"/>
        <v>0</v>
      </c>
      <c r="W72" s="17"/>
      <c r="X72" s="17"/>
      <c r="Y72" s="18">
        <v>0.22600000000000001</v>
      </c>
      <c r="Z72" s="1">
        <f t="shared" si="28"/>
        <v>0</v>
      </c>
      <c r="AA72" s="21"/>
      <c r="AC72" s="21"/>
      <c r="AE72" s="19"/>
      <c r="AF72" s="20">
        <f>SUMIF('[1]G-Chart'!G:G,[1]Capacity!D72,'[1]G-Chart'!L:L)</f>
        <v>0</v>
      </c>
      <c r="AG72" s="2">
        <f t="shared" si="29"/>
        <v>0</v>
      </c>
      <c r="AH72" s="2">
        <f t="shared" si="30"/>
        <v>0</v>
      </c>
      <c r="AI72" s="2">
        <f t="shared" si="36"/>
        <v>0</v>
      </c>
      <c r="AJ72" s="1">
        <f t="shared" si="31"/>
        <v>0</v>
      </c>
      <c r="AK72" s="1">
        <f t="shared" si="32"/>
        <v>0</v>
      </c>
      <c r="AL72" s="1">
        <f t="shared" si="33"/>
        <v>0</v>
      </c>
      <c r="AM72" s="1">
        <f t="shared" si="37"/>
        <v>0</v>
      </c>
    </row>
    <row r="73" spans="1:39" x14ac:dyDescent="0.3">
      <c r="A73" s="12">
        <v>71</v>
      </c>
      <c r="B73" s="12" t="s">
        <v>26</v>
      </c>
      <c r="C73" s="13" t="s">
        <v>225</v>
      </c>
      <c r="D73" s="13" t="s">
        <v>225</v>
      </c>
      <c r="E73" s="14" t="s">
        <v>226</v>
      </c>
      <c r="F73" s="15">
        <v>0</v>
      </c>
      <c r="G73" s="16">
        <f t="shared" si="34"/>
        <v>2</v>
      </c>
      <c r="H73" s="15"/>
      <c r="I73" s="15">
        <f t="shared" si="22"/>
        <v>0</v>
      </c>
      <c r="J73" s="15">
        <v>0.5</v>
      </c>
      <c r="K73" s="15">
        <f t="shared" si="35"/>
        <v>0</v>
      </c>
      <c r="L73" s="15">
        <v>1.5</v>
      </c>
      <c r="M73" s="15">
        <f t="shared" si="23"/>
        <v>0</v>
      </c>
      <c r="N73" s="15"/>
      <c r="O73" s="15">
        <f t="shared" si="24"/>
        <v>0</v>
      </c>
      <c r="P73" s="15"/>
      <c r="Q73" s="15">
        <f t="shared" si="25"/>
        <v>0</v>
      </c>
      <c r="R73" s="15"/>
      <c r="S73" s="15">
        <f t="shared" si="26"/>
        <v>0</v>
      </c>
      <c r="T73" s="15"/>
      <c r="U73" s="15">
        <f t="shared" si="27"/>
        <v>0</v>
      </c>
      <c r="V73" s="15">
        <f t="shared" si="19"/>
        <v>0</v>
      </c>
      <c r="W73" s="17"/>
      <c r="X73" s="17"/>
      <c r="Y73" s="18">
        <v>0.22700000000000001</v>
      </c>
      <c r="Z73" s="1">
        <f t="shared" si="28"/>
        <v>0</v>
      </c>
      <c r="AA73" s="21"/>
      <c r="AC73" s="21"/>
      <c r="AE73" s="19"/>
      <c r="AF73" s="20">
        <f>SUMIF('[1]G-Chart'!G:G,[1]Capacity!D73,'[1]G-Chart'!L:L)</f>
        <v>315</v>
      </c>
      <c r="AG73" s="2">
        <f t="shared" si="29"/>
        <v>157.5</v>
      </c>
      <c r="AH73" s="2">
        <f t="shared" si="30"/>
        <v>472.5</v>
      </c>
      <c r="AI73" s="2">
        <f t="shared" si="36"/>
        <v>0</v>
      </c>
      <c r="AJ73" s="1">
        <f t="shared" si="31"/>
        <v>0</v>
      </c>
      <c r="AK73" s="1">
        <f t="shared" si="32"/>
        <v>0</v>
      </c>
      <c r="AL73" s="1">
        <f t="shared" si="33"/>
        <v>0</v>
      </c>
      <c r="AM73" s="1">
        <f t="shared" si="37"/>
        <v>630</v>
      </c>
    </row>
    <row r="74" spans="1:39" x14ac:dyDescent="0.3">
      <c r="A74" s="12">
        <v>72</v>
      </c>
      <c r="B74" s="12" t="s">
        <v>26</v>
      </c>
      <c r="C74" s="13" t="s">
        <v>227</v>
      </c>
      <c r="D74" s="13" t="s">
        <v>228</v>
      </c>
      <c r="E74" s="14" t="s">
        <v>229</v>
      </c>
      <c r="F74" s="15">
        <v>0</v>
      </c>
      <c r="G74" s="16">
        <f t="shared" si="34"/>
        <v>4</v>
      </c>
      <c r="H74" s="15"/>
      <c r="I74" s="15">
        <f t="shared" si="22"/>
        <v>0</v>
      </c>
      <c r="J74" s="15"/>
      <c r="K74" s="15">
        <f t="shared" si="35"/>
        <v>0</v>
      </c>
      <c r="L74" s="15"/>
      <c r="M74" s="15">
        <f t="shared" si="23"/>
        <v>0</v>
      </c>
      <c r="N74" s="15"/>
      <c r="O74" s="15">
        <f t="shared" si="24"/>
        <v>0</v>
      </c>
      <c r="P74" s="15"/>
      <c r="Q74" s="15">
        <f t="shared" si="25"/>
        <v>0</v>
      </c>
      <c r="R74" s="15"/>
      <c r="S74" s="15">
        <f t="shared" si="26"/>
        <v>0</v>
      </c>
      <c r="T74" s="15">
        <v>4</v>
      </c>
      <c r="U74" s="15">
        <f t="shared" si="27"/>
        <v>0</v>
      </c>
      <c r="V74" s="15">
        <f t="shared" si="19"/>
        <v>0</v>
      </c>
      <c r="W74" s="17"/>
      <c r="X74" s="17"/>
      <c r="Y74" s="18">
        <v>0.08</v>
      </c>
      <c r="Z74" s="1">
        <f t="shared" si="28"/>
        <v>0</v>
      </c>
      <c r="AA74" s="21"/>
      <c r="AC74" s="21"/>
      <c r="AE74" s="19"/>
      <c r="AF74" s="20">
        <f>SUMIF('[1]G-Chart'!G:G,[1]Capacity!D74,'[1]G-Chart'!L:L)</f>
        <v>0</v>
      </c>
      <c r="AG74" s="2">
        <f t="shared" si="29"/>
        <v>0</v>
      </c>
      <c r="AH74" s="2">
        <f t="shared" si="30"/>
        <v>0</v>
      </c>
      <c r="AI74" s="2">
        <f t="shared" si="36"/>
        <v>0</v>
      </c>
      <c r="AJ74" s="1">
        <f t="shared" si="31"/>
        <v>0</v>
      </c>
      <c r="AK74" s="1">
        <f t="shared" si="32"/>
        <v>0</v>
      </c>
      <c r="AL74" s="1">
        <f t="shared" si="33"/>
        <v>0</v>
      </c>
      <c r="AM74" s="1">
        <f t="shared" si="37"/>
        <v>0</v>
      </c>
    </row>
    <row r="75" spans="1:39" x14ac:dyDescent="0.3">
      <c r="A75" s="12">
        <v>73</v>
      </c>
      <c r="B75" s="12" t="s">
        <v>26</v>
      </c>
      <c r="C75" s="13" t="s">
        <v>230</v>
      </c>
      <c r="D75" s="13" t="s">
        <v>231</v>
      </c>
      <c r="E75" s="14" t="s">
        <v>232</v>
      </c>
      <c r="F75" s="15">
        <v>0</v>
      </c>
      <c r="G75" s="16">
        <f t="shared" si="34"/>
        <v>3</v>
      </c>
      <c r="H75" s="15"/>
      <c r="I75" s="15">
        <f t="shared" si="22"/>
        <v>0</v>
      </c>
      <c r="J75" s="15"/>
      <c r="K75" s="15">
        <f t="shared" si="35"/>
        <v>0</v>
      </c>
      <c r="L75" s="15"/>
      <c r="M75" s="15">
        <f t="shared" si="23"/>
        <v>0</v>
      </c>
      <c r="N75" s="15"/>
      <c r="O75" s="15">
        <f t="shared" si="24"/>
        <v>0</v>
      </c>
      <c r="P75" s="15"/>
      <c r="Q75" s="15">
        <f t="shared" si="25"/>
        <v>0</v>
      </c>
      <c r="R75" s="15"/>
      <c r="S75" s="15">
        <f t="shared" si="26"/>
        <v>0</v>
      </c>
      <c r="T75" s="15">
        <v>3</v>
      </c>
      <c r="U75" s="15">
        <f t="shared" si="27"/>
        <v>0</v>
      </c>
      <c r="V75" s="15">
        <f t="shared" si="19"/>
        <v>0</v>
      </c>
      <c r="W75" s="17"/>
      <c r="X75" s="17"/>
      <c r="Y75" s="18">
        <v>2.5000000000000001E-2</v>
      </c>
      <c r="Z75" s="1">
        <f t="shared" si="28"/>
        <v>0</v>
      </c>
      <c r="AA75" s="21"/>
      <c r="AC75" s="21"/>
      <c r="AE75" s="19"/>
      <c r="AF75" s="20">
        <f>SUMIF('[1]G-Chart'!G:G,[1]Capacity!D75,'[1]G-Chart'!L:L)</f>
        <v>0</v>
      </c>
      <c r="AG75" s="2">
        <f t="shared" si="29"/>
        <v>0</v>
      </c>
      <c r="AH75" s="2">
        <f t="shared" si="30"/>
        <v>0</v>
      </c>
      <c r="AI75" s="2">
        <f t="shared" si="36"/>
        <v>0</v>
      </c>
      <c r="AJ75" s="1">
        <f t="shared" si="31"/>
        <v>0</v>
      </c>
      <c r="AK75" s="1">
        <f t="shared" si="32"/>
        <v>0</v>
      </c>
      <c r="AL75" s="1">
        <f t="shared" si="33"/>
        <v>0</v>
      </c>
      <c r="AM75" s="1">
        <f t="shared" si="37"/>
        <v>0</v>
      </c>
    </row>
    <row r="76" spans="1:39" x14ac:dyDescent="0.3">
      <c r="A76" s="12">
        <v>74</v>
      </c>
      <c r="B76" s="12" t="s">
        <v>26</v>
      </c>
      <c r="C76" s="13" t="s">
        <v>233</v>
      </c>
      <c r="D76" s="13" t="s">
        <v>234</v>
      </c>
      <c r="E76" s="14" t="s">
        <v>235</v>
      </c>
      <c r="F76" s="15">
        <v>0</v>
      </c>
      <c r="G76" s="16">
        <f t="shared" si="34"/>
        <v>2</v>
      </c>
      <c r="H76" s="15"/>
      <c r="I76" s="15">
        <f t="shared" si="22"/>
        <v>0</v>
      </c>
      <c r="J76" s="15"/>
      <c r="K76" s="15">
        <f t="shared" si="35"/>
        <v>0</v>
      </c>
      <c r="L76" s="15"/>
      <c r="M76" s="15">
        <f t="shared" si="23"/>
        <v>0</v>
      </c>
      <c r="N76" s="15"/>
      <c r="O76" s="15">
        <f t="shared" si="24"/>
        <v>0</v>
      </c>
      <c r="P76" s="15"/>
      <c r="Q76" s="15">
        <f t="shared" si="25"/>
        <v>0</v>
      </c>
      <c r="R76" s="15"/>
      <c r="S76" s="15">
        <f t="shared" si="26"/>
        <v>0</v>
      </c>
      <c r="T76" s="15">
        <v>2</v>
      </c>
      <c r="U76" s="15">
        <f t="shared" si="27"/>
        <v>0</v>
      </c>
      <c r="V76" s="15">
        <f t="shared" si="19"/>
        <v>0</v>
      </c>
      <c r="W76" s="17"/>
      <c r="X76" s="17"/>
      <c r="Y76" s="18">
        <v>8.9999999999999993E-3</v>
      </c>
      <c r="Z76" s="1">
        <f t="shared" si="28"/>
        <v>0</v>
      </c>
      <c r="AA76" s="21"/>
      <c r="AC76" s="21"/>
      <c r="AE76" s="19"/>
      <c r="AF76" s="20">
        <f>SUMIF('[1]G-Chart'!G:G,[1]Capacity!D76,'[1]G-Chart'!L:L)</f>
        <v>3529</v>
      </c>
      <c r="AG76" s="2">
        <f t="shared" si="29"/>
        <v>0</v>
      </c>
      <c r="AH76" s="2">
        <f t="shared" si="30"/>
        <v>0</v>
      </c>
      <c r="AI76" s="2">
        <f t="shared" si="36"/>
        <v>0</v>
      </c>
      <c r="AJ76" s="1">
        <f t="shared" si="31"/>
        <v>0</v>
      </c>
      <c r="AK76" s="1">
        <f t="shared" si="32"/>
        <v>0</v>
      </c>
      <c r="AL76" s="1">
        <f t="shared" si="33"/>
        <v>7058</v>
      </c>
      <c r="AM76" s="1">
        <f t="shared" si="37"/>
        <v>7058</v>
      </c>
    </row>
    <row r="77" spans="1:39" x14ac:dyDescent="0.3">
      <c r="A77" s="12">
        <v>75</v>
      </c>
      <c r="B77" s="12" t="s">
        <v>236</v>
      </c>
      <c r="C77" s="13" t="s">
        <v>237</v>
      </c>
      <c r="D77" s="13" t="s">
        <v>237</v>
      </c>
      <c r="E77" s="14"/>
      <c r="F77" s="15">
        <v>0</v>
      </c>
      <c r="G77" s="16">
        <f t="shared" si="34"/>
        <v>0</v>
      </c>
      <c r="H77" s="15"/>
      <c r="I77" s="15">
        <f t="shared" si="22"/>
        <v>0</v>
      </c>
      <c r="J77" s="15"/>
      <c r="K77" s="15">
        <f t="shared" si="35"/>
        <v>0</v>
      </c>
      <c r="L77" s="15"/>
      <c r="M77" s="15">
        <f t="shared" si="23"/>
        <v>0</v>
      </c>
      <c r="N77" s="15"/>
      <c r="O77" s="15">
        <f t="shared" si="24"/>
        <v>0</v>
      </c>
      <c r="P77" s="15"/>
      <c r="Q77" s="15">
        <f t="shared" si="25"/>
        <v>0</v>
      </c>
      <c r="R77" s="15"/>
      <c r="S77" s="15">
        <f t="shared" si="26"/>
        <v>0</v>
      </c>
      <c r="T77" s="15"/>
      <c r="U77" s="15">
        <f t="shared" si="27"/>
        <v>0</v>
      </c>
      <c r="V77" s="15">
        <f t="shared" si="19"/>
        <v>0</v>
      </c>
      <c r="W77" s="17"/>
      <c r="X77" s="17"/>
      <c r="Y77" s="18">
        <v>2.7E-2</v>
      </c>
      <c r="Z77" s="1">
        <f t="shared" si="28"/>
        <v>0</v>
      </c>
      <c r="AA77" s="21"/>
      <c r="AC77" s="21"/>
      <c r="AE77" s="19"/>
      <c r="AF77" s="20">
        <f>SUMIF('[1]G-Chart'!G:G,[1]Capacity!D77,'[1]G-Chart'!L:L)</f>
        <v>375</v>
      </c>
      <c r="AG77" s="2">
        <f t="shared" si="29"/>
        <v>0</v>
      </c>
      <c r="AH77" s="2">
        <f t="shared" si="30"/>
        <v>0</v>
      </c>
      <c r="AI77" s="2">
        <f t="shared" si="36"/>
        <v>0</v>
      </c>
      <c r="AJ77" s="1">
        <f t="shared" si="31"/>
        <v>0</v>
      </c>
      <c r="AK77" s="1">
        <f t="shared" si="32"/>
        <v>0</v>
      </c>
      <c r="AL77" s="1">
        <f t="shared" si="33"/>
        <v>0</v>
      </c>
      <c r="AM77" s="1">
        <f t="shared" si="37"/>
        <v>0</v>
      </c>
    </row>
    <row r="78" spans="1:39" x14ac:dyDescent="0.3">
      <c r="A78" s="12">
        <v>76</v>
      </c>
      <c r="B78" s="12" t="s">
        <v>236</v>
      </c>
      <c r="C78" s="13" t="s">
        <v>238</v>
      </c>
      <c r="D78" s="13" t="s">
        <v>238</v>
      </c>
      <c r="E78" s="14"/>
      <c r="F78" s="15">
        <v>0</v>
      </c>
      <c r="G78" s="16">
        <f t="shared" si="34"/>
        <v>0</v>
      </c>
      <c r="H78" s="15"/>
      <c r="I78" s="15">
        <f t="shared" si="22"/>
        <v>0</v>
      </c>
      <c r="J78" s="15"/>
      <c r="K78" s="15">
        <f t="shared" si="35"/>
        <v>0</v>
      </c>
      <c r="L78" s="15"/>
      <c r="M78" s="15">
        <f t="shared" si="23"/>
        <v>0</v>
      </c>
      <c r="N78" s="15"/>
      <c r="O78" s="15">
        <f t="shared" si="24"/>
        <v>0</v>
      </c>
      <c r="P78" s="15"/>
      <c r="Q78" s="15">
        <f t="shared" si="25"/>
        <v>0</v>
      </c>
      <c r="R78" s="15"/>
      <c r="S78" s="15">
        <f t="shared" si="26"/>
        <v>0</v>
      </c>
      <c r="T78" s="15"/>
      <c r="U78" s="15">
        <f t="shared" si="27"/>
        <v>0</v>
      </c>
      <c r="V78" s="15">
        <f t="shared" si="19"/>
        <v>0</v>
      </c>
      <c r="W78" s="17"/>
      <c r="X78" s="17"/>
      <c r="Y78" s="18">
        <v>0.11700000000000001</v>
      </c>
      <c r="Z78" s="1">
        <f t="shared" si="28"/>
        <v>0</v>
      </c>
      <c r="AA78" s="21"/>
      <c r="AC78" s="21"/>
      <c r="AE78" s="19"/>
      <c r="AF78" s="20">
        <f>SUMIF('[1]G-Chart'!G:G,[1]Capacity!D78,'[1]G-Chart'!L:L)</f>
        <v>0</v>
      </c>
      <c r="AG78" s="2">
        <f t="shared" si="29"/>
        <v>0</v>
      </c>
      <c r="AH78" s="2">
        <f t="shared" si="30"/>
        <v>0</v>
      </c>
      <c r="AI78" s="2">
        <f t="shared" si="36"/>
        <v>0</v>
      </c>
      <c r="AJ78" s="1">
        <f t="shared" si="31"/>
        <v>0</v>
      </c>
      <c r="AK78" s="1">
        <f t="shared" si="32"/>
        <v>0</v>
      </c>
      <c r="AL78" s="1">
        <f t="shared" si="33"/>
        <v>0</v>
      </c>
      <c r="AM78" s="1">
        <f t="shared" si="37"/>
        <v>0</v>
      </c>
    </row>
    <row r="79" spans="1:39" x14ac:dyDescent="0.3">
      <c r="A79" s="12">
        <v>77</v>
      </c>
      <c r="B79" s="12" t="s">
        <v>239</v>
      </c>
      <c r="C79" s="13" t="s">
        <v>240</v>
      </c>
      <c r="D79" s="13" t="s">
        <v>240</v>
      </c>
      <c r="E79" s="14" t="s">
        <v>241</v>
      </c>
      <c r="F79" s="15">
        <v>0</v>
      </c>
      <c r="G79" s="16">
        <f t="shared" si="34"/>
        <v>1</v>
      </c>
      <c r="H79" s="15"/>
      <c r="I79" s="15">
        <f t="shared" si="22"/>
        <v>0</v>
      </c>
      <c r="J79" s="15"/>
      <c r="K79" s="15">
        <f t="shared" si="35"/>
        <v>0</v>
      </c>
      <c r="L79" s="15"/>
      <c r="M79" s="15">
        <f t="shared" si="23"/>
        <v>0</v>
      </c>
      <c r="N79" s="15"/>
      <c r="O79" s="15">
        <f t="shared" si="24"/>
        <v>0</v>
      </c>
      <c r="P79" s="15"/>
      <c r="Q79" s="15">
        <f t="shared" si="25"/>
        <v>0</v>
      </c>
      <c r="R79" s="15"/>
      <c r="S79" s="15">
        <f t="shared" si="26"/>
        <v>0</v>
      </c>
      <c r="T79" s="15">
        <v>1</v>
      </c>
      <c r="U79" s="15">
        <f t="shared" si="27"/>
        <v>0</v>
      </c>
      <c r="V79" s="15">
        <f t="shared" si="19"/>
        <v>0</v>
      </c>
      <c r="W79" s="17"/>
      <c r="X79" s="17"/>
      <c r="Y79" s="18">
        <v>1.2999999999999999E-2</v>
      </c>
      <c r="Z79" s="1">
        <f t="shared" si="28"/>
        <v>0</v>
      </c>
      <c r="AA79" s="21"/>
      <c r="AC79" s="21"/>
      <c r="AE79" s="19"/>
      <c r="AF79" s="20">
        <f>SUMIF('[1]G-Chart'!G:G,[1]Capacity!D79,'[1]G-Chart'!L:L)</f>
        <v>0</v>
      </c>
      <c r="AG79" s="2">
        <f t="shared" si="29"/>
        <v>0</v>
      </c>
      <c r="AH79" s="2">
        <f t="shared" si="30"/>
        <v>0</v>
      </c>
      <c r="AI79" s="2">
        <f t="shared" si="36"/>
        <v>0</v>
      </c>
      <c r="AJ79" s="1">
        <f t="shared" si="31"/>
        <v>0</v>
      </c>
      <c r="AK79" s="1">
        <f t="shared" si="32"/>
        <v>0</v>
      </c>
      <c r="AL79" s="1">
        <f t="shared" si="33"/>
        <v>0</v>
      </c>
      <c r="AM79" s="1">
        <f t="shared" si="37"/>
        <v>0</v>
      </c>
    </row>
    <row r="80" spans="1:39" x14ac:dyDescent="0.3">
      <c r="A80" s="12">
        <v>78</v>
      </c>
      <c r="B80" s="12" t="s">
        <v>239</v>
      </c>
      <c r="C80" s="13" t="s">
        <v>242</v>
      </c>
      <c r="D80" s="13" t="s">
        <v>242</v>
      </c>
      <c r="E80" s="14" t="s">
        <v>243</v>
      </c>
      <c r="F80" s="15">
        <v>0</v>
      </c>
      <c r="G80" s="16">
        <f t="shared" si="34"/>
        <v>2</v>
      </c>
      <c r="H80" s="15"/>
      <c r="I80" s="15">
        <f t="shared" si="22"/>
        <v>0</v>
      </c>
      <c r="J80" s="15"/>
      <c r="K80" s="15">
        <f t="shared" si="35"/>
        <v>0</v>
      </c>
      <c r="L80" s="15"/>
      <c r="M80" s="15">
        <f t="shared" si="23"/>
        <v>0</v>
      </c>
      <c r="N80" s="15"/>
      <c r="O80" s="15">
        <f t="shared" si="24"/>
        <v>0</v>
      </c>
      <c r="P80" s="15"/>
      <c r="Q80" s="15">
        <f t="shared" si="25"/>
        <v>0</v>
      </c>
      <c r="R80" s="15"/>
      <c r="S80" s="15">
        <f t="shared" si="26"/>
        <v>0</v>
      </c>
      <c r="T80" s="15">
        <v>2</v>
      </c>
      <c r="U80" s="15">
        <f t="shared" si="27"/>
        <v>0</v>
      </c>
      <c r="V80" s="15">
        <f t="shared" si="19"/>
        <v>0</v>
      </c>
      <c r="W80" s="17"/>
      <c r="X80" s="17"/>
      <c r="Y80" s="18">
        <v>4.8000000000000001E-2</v>
      </c>
      <c r="Z80" s="1">
        <f t="shared" si="28"/>
        <v>0</v>
      </c>
      <c r="AA80" s="21"/>
      <c r="AC80" s="21"/>
      <c r="AE80" s="19"/>
      <c r="AF80" s="20">
        <f>SUMIF('[1]G-Chart'!G:G,[1]Capacity!D80,'[1]G-Chart'!L:L)</f>
        <v>0</v>
      </c>
      <c r="AG80" s="2">
        <f t="shared" si="29"/>
        <v>0</v>
      </c>
      <c r="AH80" s="2">
        <f t="shared" si="30"/>
        <v>0</v>
      </c>
      <c r="AI80" s="2">
        <f t="shared" si="36"/>
        <v>0</v>
      </c>
      <c r="AJ80" s="1">
        <f t="shared" si="31"/>
        <v>0</v>
      </c>
      <c r="AK80" s="1">
        <f t="shared" si="32"/>
        <v>0</v>
      </c>
      <c r="AL80" s="1">
        <f t="shared" si="33"/>
        <v>0</v>
      </c>
      <c r="AM80" s="1">
        <f t="shared" si="37"/>
        <v>0</v>
      </c>
    </row>
    <row r="81" spans="1:39" x14ac:dyDescent="0.3">
      <c r="A81" s="12">
        <v>79</v>
      </c>
      <c r="B81" s="12" t="s">
        <v>239</v>
      </c>
      <c r="C81" s="13" t="s">
        <v>244</v>
      </c>
      <c r="D81" s="13" t="s">
        <v>245</v>
      </c>
      <c r="E81" s="14" t="s">
        <v>246</v>
      </c>
      <c r="F81" s="15">
        <v>0</v>
      </c>
      <c r="G81" s="16">
        <f t="shared" si="34"/>
        <v>1.5</v>
      </c>
      <c r="H81" s="15"/>
      <c r="I81" s="15">
        <f t="shared" si="22"/>
        <v>0</v>
      </c>
      <c r="J81" s="15"/>
      <c r="K81" s="15">
        <f t="shared" si="35"/>
        <v>0</v>
      </c>
      <c r="L81" s="15"/>
      <c r="M81" s="15">
        <f t="shared" si="23"/>
        <v>0</v>
      </c>
      <c r="N81" s="15"/>
      <c r="O81" s="15">
        <f t="shared" si="24"/>
        <v>0</v>
      </c>
      <c r="P81" s="15">
        <v>1</v>
      </c>
      <c r="Q81" s="15">
        <f t="shared" si="25"/>
        <v>0</v>
      </c>
      <c r="R81" s="15"/>
      <c r="S81" s="15">
        <f t="shared" si="26"/>
        <v>0</v>
      </c>
      <c r="T81" s="15">
        <v>0.5</v>
      </c>
      <c r="U81" s="15">
        <f t="shared" si="27"/>
        <v>0</v>
      </c>
      <c r="V81" s="15">
        <f t="shared" si="19"/>
        <v>0</v>
      </c>
      <c r="W81" s="17"/>
      <c r="X81" s="17"/>
      <c r="Y81" s="18">
        <v>6.4000000000000001E-2</v>
      </c>
      <c r="Z81" s="1">
        <f t="shared" si="28"/>
        <v>0</v>
      </c>
      <c r="AA81" s="21"/>
      <c r="AC81" s="21"/>
      <c r="AE81" s="19"/>
      <c r="AF81" s="20">
        <f>SUMIF('[1]G-Chart'!G:G,[1]Capacity!D81,'[1]G-Chart'!L:L)</f>
        <v>0</v>
      </c>
      <c r="AG81" s="2">
        <f t="shared" si="29"/>
        <v>0</v>
      </c>
      <c r="AH81" s="2">
        <f t="shared" si="30"/>
        <v>0</v>
      </c>
      <c r="AI81" s="2">
        <f t="shared" si="36"/>
        <v>0</v>
      </c>
      <c r="AJ81" s="1">
        <f t="shared" si="31"/>
        <v>0</v>
      </c>
      <c r="AK81" s="1">
        <f t="shared" si="32"/>
        <v>0</v>
      </c>
      <c r="AL81" s="1">
        <f t="shared" si="33"/>
        <v>0</v>
      </c>
      <c r="AM81" s="1">
        <f t="shared" si="37"/>
        <v>0</v>
      </c>
    </row>
    <row r="82" spans="1:39" x14ac:dyDescent="0.3">
      <c r="A82" s="12">
        <v>80</v>
      </c>
      <c r="B82" s="12" t="s">
        <v>239</v>
      </c>
      <c r="C82" s="13" t="s">
        <v>247</v>
      </c>
      <c r="D82" s="13" t="s">
        <v>248</v>
      </c>
      <c r="E82" s="14" t="s">
        <v>249</v>
      </c>
      <c r="F82" s="15">
        <v>0</v>
      </c>
      <c r="G82" s="16">
        <f t="shared" si="34"/>
        <v>1.5</v>
      </c>
      <c r="H82" s="15"/>
      <c r="I82" s="15">
        <f t="shared" si="22"/>
        <v>0</v>
      </c>
      <c r="J82" s="15"/>
      <c r="K82" s="15">
        <f t="shared" si="35"/>
        <v>0</v>
      </c>
      <c r="L82" s="15"/>
      <c r="M82" s="15">
        <f t="shared" si="23"/>
        <v>0</v>
      </c>
      <c r="N82" s="15"/>
      <c r="O82" s="15">
        <f t="shared" si="24"/>
        <v>0</v>
      </c>
      <c r="P82" s="15">
        <v>1</v>
      </c>
      <c r="Q82" s="15">
        <f t="shared" si="25"/>
        <v>0</v>
      </c>
      <c r="R82" s="15"/>
      <c r="S82" s="15">
        <f t="shared" si="26"/>
        <v>0</v>
      </c>
      <c r="T82" s="15">
        <v>0.5</v>
      </c>
      <c r="U82" s="15">
        <f t="shared" si="27"/>
        <v>0</v>
      </c>
      <c r="V82" s="15">
        <f t="shared" si="19"/>
        <v>0</v>
      </c>
      <c r="W82" s="17"/>
      <c r="X82" s="17"/>
      <c r="Y82" s="18">
        <v>6.4000000000000001E-2</v>
      </c>
      <c r="Z82" s="1">
        <f t="shared" si="28"/>
        <v>0</v>
      </c>
      <c r="AA82" s="21"/>
      <c r="AC82" s="21"/>
      <c r="AE82" s="19"/>
      <c r="AF82" s="20">
        <f>SUMIF('[1]G-Chart'!G:G,[1]Capacity!D82,'[1]G-Chart'!L:L)</f>
        <v>0</v>
      </c>
      <c r="AG82" s="2">
        <f t="shared" si="29"/>
        <v>0</v>
      </c>
      <c r="AH82" s="2">
        <f t="shared" si="30"/>
        <v>0</v>
      </c>
      <c r="AI82" s="2">
        <f t="shared" si="36"/>
        <v>0</v>
      </c>
      <c r="AJ82" s="1">
        <f t="shared" si="31"/>
        <v>0</v>
      </c>
      <c r="AK82" s="1">
        <f t="shared" si="32"/>
        <v>0</v>
      </c>
      <c r="AL82" s="1">
        <f t="shared" si="33"/>
        <v>0</v>
      </c>
      <c r="AM82" s="1">
        <f t="shared" si="37"/>
        <v>0</v>
      </c>
    </row>
    <row r="83" spans="1:39" x14ac:dyDescent="0.3">
      <c r="A83" s="12">
        <v>81</v>
      </c>
      <c r="B83" s="12" t="s">
        <v>26</v>
      </c>
      <c r="C83" s="13" t="s">
        <v>250</v>
      </c>
      <c r="D83" s="13" t="s">
        <v>251</v>
      </c>
      <c r="E83" s="14"/>
      <c r="F83" s="15">
        <v>0</v>
      </c>
      <c r="G83" s="16">
        <f t="shared" si="34"/>
        <v>0</v>
      </c>
      <c r="H83" s="15"/>
      <c r="I83" s="15">
        <f t="shared" si="22"/>
        <v>0</v>
      </c>
      <c r="J83" s="15"/>
      <c r="K83" s="15">
        <f t="shared" si="35"/>
        <v>0</v>
      </c>
      <c r="L83" s="15"/>
      <c r="M83" s="15">
        <f t="shared" si="23"/>
        <v>0</v>
      </c>
      <c r="N83" s="15"/>
      <c r="O83" s="15">
        <f t="shared" si="24"/>
        <v>0</v>
      </c>
      <c r="P83" s="15"/>
      <c r="Q83" s="15">
        <f t="shared" si="25"/>
        <v>0</v>
      </c>
      <c r="R83" s="15"/>
      <c r="S83" s="15">
        <f t="shared" si="26"/>
        <v>0</v>
      </c>
      <c r="T83" s="15"/>
      <c r="U83" s="15">
        <f t="shared" si="27"/>
        <v>0</v>
      </c>
      <c r="V83" s="15">
        <f t="shared" si="19"/>
        <v>0</v>
      </c>
      <c r="W83" s="17"/>
      <c r="X83" s="17"/>
      <c r="Y83" s="18">
        <v>0.08</v>
      </c>
      <c r="Z83" s="1">
        <f t="shared" si="28"/>
        <v>0</v>
      </c>
      <c r="AA83" s="21"/>
      <c r="AC83" s="21"/>
      <c r="AE83" s="19"/>
      <c r="AF83" s="20">
        <f>SUMIF('[1]G-Chart'!G:G,[1]Capacity!D83,'[1]G-Chart'!L:L)</f>
        <v>0</v>
      </c>
      <c r="AG83" s="2">
        <f t="shared" si="29"/>
        <v>0</v>
      </c>
      <c r="AH83" s="2">
        <f t="shared" si="30"/>
        <v>0</v>
      </c>
      <c r="AI83" s="2">
        <f t="shared" si="36"/>
        <v>0</v>
      </c>
      <c r="AJ83" s="1">
        <f t="shared" si="31"/>
        <v>0</v>
      </c>
      <c r="AK83" s="1">
        <f t="shared" si="32"/>
        <v>0</v>
      </c>
      <c r="AL83" s="1">
        <f t="shared" si="33"/>
        <v>0</v>
      </c>
      <c r="AM83" s="1">
        <f t="shared" si="37"/>
        <v>0</v>
      </c>
    </row>
    <row r="84" spans="1:39" x14ac:dyDescent="0.3">
      <c r="A84" s="12">
        <v>82</v>
      </c>
      <c r="B84" s="12" t="s">
        <v>109</v>
      </c>
      <c r="C84" s="13" t="s">
        <v>252</v>
      </c>
      <c r="D84" s="13" t="s">
        <v>252</v>
      </c>
      <c r="E84" s="14" t="s">
        <v>253</v>
      </c>
      <c r="F84" s="15">
        <v>0</v>
      </c>
      <c r="G84" s="16">
        <f t="shared" si="34"/>
        <v>2.5</v>
      </c>
      <c r="H84" s="15"/>
      <c r="I84" s="15">
        <f t="shared" si="22"/>
        <v>0</v>
      </c>
      <c r="J84" s="15">
        <v>1.5</v>
      </c>
      <c r="K84" s="15">
        <f t="shared" si="35"/>
        <v>0</v>
      </c>
      <c r="L84" s="15"/>
      <c r="M84" s="15">
        <f t="shared" si="23"/>
        <v>0</v>
      </c>
      <c r="N84" s="15">
        <v>1</v>
      </c>
      <c r="O84" s="15">
        <f t="shared" si="24"/>
        <v>0</v>
      </c>
      <c r="P84" s="15"/>
      <c r="Q84" s="15">
        <f t="shared" si="25"/>
        <v>0</v>
      </c>
      <c r="R84" s="15"/>
      <c r="S84" s="15">
        <f t="shared" si="26"/>
        <v>0</v>
      </c>
      <c r="T84" s="15"/>
      <c r="U84" s="15">
        <f t="shared" si="27"/>
        <v>0</v>
      </c>
      <c r="V84" s="15">
        <f t="shared" si="19"/>
        <v>0</v>
      </c>
      <c r="W84" s="17"/>
      <c r="X84" s="17"/>
      <c r="Y84" s="18">
        <v>0.50900000000000001</v>
      </c>
      <c r="Z84" s="1">
        <f t="shared" si="28"/>
        <v>0</v>
      </c>
      <c r="AA84" s="21"/>
      <c r="AC84" s="21"/>
      <c r="AE84" s="19"/>
      <c r="AF84" s="20">
        <f>SUMIF('[1]G-Chart'!G:G,[1]Capacity!D84,'[1]G-Chart'!L:L)</f>
        <v>243</v>
      </c>
      <c r="AG84" s="2">
        <f t="shared" si="29"/>
        <v>364.5</v>
      </c>
      <c r="AH84" s="2">
        <f t="shared" si="30"/>
        <v>0</v>
      </c>
      <c r="AI84" s="2">
        <f t="shared" si="36"/>
        <v>243</v>
      </c>
      <c r="AJ84" s="1">
        <f t="shared" si="31"/>
        <v>0</v>
      </c>
      <c r="AK84" s="1">
        <f t="shared" si="32"/>
        <v>0</v>
      </c>
      <c r="AL84" s="1">
        <f t="shared" si="33"/>
        <v>0</v>
      </c>
      <c r="AM84" s="1">
        <f t="shared" si="37"/>
        <v>607.5</v>
      </c>
    </row>
    <row r="85" spans="1:39" x14ac:dyDescent="0.3">
      <c r="A85" s="12">
        <v>83</v>
      </c>
      <c r="B85" s="12" t="s">
        <v>109</v>
      </c>
      <c r="C85" s="13" t="s">
        <v>254</v>
      </c>
      <c r="D85" s="13" t="s">
        <v>254</v>
      </c>
      <c r="E85" s="14" t="s">
        <v>255</v>
      </c>
      <c r="F85" s="15">
        <v>0</v>
      </c>
      <c r="G85" s="16">
        <f t="shared" si="34"/>
        <v>2.5</v>
      </c>
      <c r="H85" s="15"/>
      <c r="I85" s="15">
        <f t="shared" si="22"/>
        <v>0</v>
      </c>
      <c r="J85" s="15">
        <v>1.5</v>
      </c>
      <c r="K85" s="15">
        <f t="shared" si="35"/>
        <v>0</v>
      </c>
      <c r="L85" s="15"/>
      <c r="M85" s="15">
        <f t="shared" si="23"/>
        <v>0</v>
      </c>
      <c r="N85" s="15">
        <v>1</v>
      </c>
      <c r="O85" s="15">
        <f t="shared" si="24"/>
        <v>0</v>
      </c>
      <c r="P85" s="15"/>
      <c r="Q85" s="15">
        <f t="shared" si="25"/>
        <v>0</v>
      </c>
      <c r="R85" s="15"/>
      <c r="S85" s="15">
        <f t="shared" si="26"/>
        <v>0</v>
      </c>
      <c r="T85" s="15"/>
      <c r="U85" s="15">
        <f t="shared" si="27"/>
        <v>0</v>
      </c>
      <c r="V85" s="15">
        <f t="shared" si="19"/>
        <v>0</v>
      </c>
      <c r="W85" s="17"/>
      <c r="X85" s="17"/>
      <c r="Y85" s="18">
        <v>0.50800000000000001</v>
      </c>
      <c r="Z85" s="1">
        <f t="shared" si="28"/>
        <v>0</v>
      </c>
      <c r="AA85" s="21"/>
      <c r="AC85" s="21"/>
      <c r="AE85" s="19"/>
      <c r="AF85" s="20">
        <f>SUMIF('[1]G-Chart'!G:G,[1]Capacity!D85,'[1]G-Chart'!L:L)</f>
        <v>275</v>
      </c>
      <c r="AG85" s="2">
        <f t="shared" si="29"/>
        <v>412.5</v>
      </c>
      <c r="AH85" s="2">
        <f t="shared" si="30"/>
        <v>0</v>
      </c>
      <c r="AI85" s="2">
        <f t="shared" si="36"/>
        <v>275</v>
      </c>
      <c r="AJ85" s="1">
        <f t="shared" si="31"/>
        <v>0</v>
      </c>
      <c r="AK85" s="1">
        <f t="shared" si="32"/>
        <v>0</v>
      </c>
      <c r="AL85" s="1">
        <f t="shared" si="33"/>
        <v>0</v>
      </c>
      <c r="AM85" s="1">
        <f t="shared" si="37"/>
        <v>687.5</v>
      </c>
    </row>
    <row r="86" spans="1:39" x14ac:dyDescent="0.3">
      <c r="A86" s="12">
        <v>84</v>
      </c>
      <c r="B86" s="12" t="s">
        <v>96</v>
      </c>
      <c r="C86" s="13" t="s">
        <v>256</v>
      </c>
      <c r="D86" s="23" t="s">
        <v>257</v>
      </c>
      <c r="E86" s="14" t="s">
        <v>258</v>
      </c>
      <c r="F86" s="15">
        <v>0</v>
      </c>
      <c r="G86" s="16">
        <f t="shared" si="34"/>
        <v>2</v>
      </c>
      <c r="H86" s="15"/>
      <c r="I86" s="15">
        <f t="shared" si="22"/>
        <v>0</v>
      </c>
      <c r="J86" s="15"/>
      <c r="K86" s="15">
        <f t="shared" si="35"/>
        <v>0</v>
      </c>
      <c r="L86" s="15"/>
      <c r="M86" s="15">
        <f t="shared" si="23"/>
        <v>0</v>
      </c>
      <c r="N86" s="15"/>
      <c r="O86" s="15">
        <f t="shared" si="24"/>
        <v>0</v>
      </c>
      <c r="P86" s="15">
        <v>0.5</v>
      </c>
      <c r="Q86" s="15">
        <f t="shared" si="25"/>
        <v>0</v>
      </c>
      <c r="R86" s="15"/>
      <c r="S86" s="15">
        <f t="shared" si="26"/>
        <v>0</v>
      </c>
      <c r="T86" s="15">
        <v>1.5</v>
      </c>
      <c r="U86" s="15">
        <f t="shared" si="27"/>
        <v>0</v>
      </c>
      <c r="V86" s="15">
        <f t="shared" si="19"/>
        <v>0</v>
      </c>
      <c r="W86" s="17"/>
      <c r="X86" s="17"/>
      <c r="Y86" s="18">
        <v>2.4E-2</v>
      </c>
      <c r="Z86" s="1">
        <f t="shared" si="28"/>
        <v>0</v>
      </c>
      <c r="AA86" s="21"/>
      <c r="AC86" s="21">
        <v>700</v>
      </c>
      <c r="AE86" s="19"/>
      <c r="AF86" s="20">
        <f>SUMIF('[1]G-Chart'!G:G,[1]Capacity!D86,'[1]G-Chart'!L:L)</f>
        <v>0</v>
      </c>
      <c r="AG86" s="2">
        <f t="shared" si="29"/>
        <v>0</v>
      </c>
      <c r="AH86" s="2">
        <f t="shared" si="30"/>
        <v>0</v>
      </c>
      <c r="AI86" s="2">
        <f t="shared" si="36"/>
        <v>0</v>
      </c>
      <c r="AJ86" s="1">
        <f t="shared" si="31"/>
        <v>0</v>
      </c>
      <c r="AK86" s="1">
        <f t="shared" si="32"/>
        <v>0</v>
      </c>
      <c r="AL86" s="1">
        <f t="shared" si="33"/>
        <v>0</v>
      </c>
      <c r="AM86" s="1">
        <f t="shared" si="37"/>
        <v>0</v>
      </c>
    </row>
    <row r="87" spans="1:39" x14ac:dyDescent="0.3">
      <c r="A87" s="12">
        <v>85</v>
      </c>
      <c r="B87" s="12" t="s">
        <v>259</v>
      </c>
      <c r="C87" s="13" t="s">
        <v>260</v>
      </c>
      <c r="D87" s="13" t="s">
        <v>261</v>
      </c>
      <c r="E87" s="14" t="s">
        <v>262</v>
      </c>
      <c r="F87" s="15">
        <v>0</v>
      </c>
      <c r="G87" s="16">
        <f t="shared" si="34"/>
        <v>2</v>
      </c>
      <c r="H87" s="15"/>
      <c r="I87" s="15">
        <f t="shared" si="22"/>
        <v>0</v>
      </c>
      <c r="J87" s="15"/>
      <c r="K87" s="15">
        <f t="shared" si="35"/>
        <v>0</v>
      </c>
      <c r="L87" s="15"/>
      <c r="M87" s="15">
        <f t="shared" si="23"/>
        <v>0</v>
      </c>
      <c r="N87" s="15"/>
      <c r="O87" s="15">
        <f t="shared" si="24"/>
        <v>0</v>
      </c>
      <c r="P87" s="15"/>
      <c r="Q87" s="15">
        <f t="shared" si="25"/>
        <v>0</v>
      </c>
      <c r="R87" s="15">
        <v>1</v>
      </c>
      <c r="S87" s="15">
        <f t="shared" si="26"/>
        <v>0</v>
      </c>
      <c r="T87" s="15">
        <v>1</v>
      </c>
      <c r="U87" s="15">
        <f t="shared" si="27"/>
        <v>0</v>
      </c>
      <c r="V87" s="15">
        <f t="shared" si="19"/>
        <v>0</v>
      </c>
      <c r="W87" s="17"/>
      <c r="X87" s="17"/>
      <c r="Y87" s="18">
        <v>2.1999999999999999E-2</v>
      </c>
      <c r="Z87" s="1">
        <f t="shared" si="28"/>
        <v>0</v>
      </c>
      <c r="AA87" s="21"/>
      <c r="AC87" s="21"/>
      <c r="AE87" s="19"/>
      <c r="AF87" s="20">
        <f>SUMIF('[1]G-Chart'!G:G,[1]Capacity!D87,'[1]G-Chart'!L:L)</f>
        <v>230</v>
      </c>
      <c r="AG87" s="2">
        <f t="shared" si="29"/>
        <v>0</v>
      </c>
      <c r="AH87" s="2">
        <f t="shared" si="30"/>
        <v>0</v>
      </c>
      <c r="AI87" s="2">
        <f t="shared" si="36"/>
        <v>0</v>
      </c>
      <c r="AJ87" s="1">
        <f t="shared" si="31"/>
        <v>0</v>
      </c>
      <c r="AK87" s="1">
        <f t="shared" si="32"/>
        <v>230</v>
      </c>
      <c r="AL87" s="1">
        <f t="shared" si="33"/>
        <v>230</v>
      </c>
      <c r="AM87" s="1">
        <f t="shared" si="37"/>
        <v>460</v>
      </c>
    </row>
    <row r="88" spans="1:39" x14ac:dyDescent="0.3">
      <c r="A88" s="12">
        <v>86</v>
      </c>
      <c r="B88" s="12" t="s">
        <v>259</v>
      </c>
      <c r="C88" s="13" t="s">
        <v>263</v>
      </c>
      <c r="D88" s="13" t="s">
        <v>264</v>
      </c>
      <c r="E88" s="14" t="s">
        <v>265</v>
      </c>
      <c r="F88" s="15">
        <v>0</v>
      </c>
      <c r="G88" s="16">
        <f t="shared" si="34"/>
        <v>2</v>
      </c>
      <c r="H88" s="15"/>
      <c r="I88" s="15">
        <f t="shared" si="22"/>
        <v>0</v>
      </c>
      <c r="J88" s="15"/>
      <c r="K88" s="15">
        <f t="shared" si="35"/>
        <v>0</v>
      </c>
      <c r="L88" s="15"/>
      <c r="M88" s="15">
        <f t="shared" si="23"/>
        <v>0</v>
      </c>
      <c r="N88" s="15"/>
      <c r="O88" s="15">
        <f t="shared" si="24"/>
        <v>0</v>
      </c>
      <c r="P88" s="15"/>
      <c r="Q88" s="15">
        <f t="shared" si="25"/>
        <v>0</v>
      </c>
      <c r="R88" s="15">
        <v>1</v>
      </c>
      <c r="S88" s="15">
        <f t="shared" si="26"/>
        <v>0</v>
      </c>
      <c r="T88" s="15">
        <v>1</v>
      </c>
      <c r="U88" s="15">
        <f t="shared" si="27"/>
        <v>0</v>
      </c>
      <c r="V88" s="15">
        <f t="shared" si="19"/>
        <v>0</v>
      </c>
      <c r="W88" s="17"/>
      <c r="X88" s="17"/>
      <c r="Y88" s="18">
        <v>2.1999999999999999E-2</v>
      </c>
      <c r="Z88" s="1">
        <f t="shared" si="28"/>
        <v>0</v>
      </c>
      <c r="AA88" s="21"/>
      <c r="AC88" s="21"/>
      <c r="AE88" s="19"/>
      <c r="AF88" s="20">
        <f>SUMIF('[1]G-Chart'!G:G,[1]Capacity!D88,'[1]G-Chart'!L:L)</f>
        <v>-25</v>
      </c>
      <c r="AG88" s="2">
        <f t="shared" si="29"/>
        <v>0</v>
      </c>
      <c r="AH88" s="2">
        <f t="shared" si="30"/>
        <v>0</v>
      </c>
      <c r="AI88" s="2">
        <f t="shared" si="36"/>
        <v>0</v>
      </c>
      <c r="AJ88" s="1">
        <f t="shared" si="31"/>
        <v>0</v>
      </c>
      <c r="AK88" s="1">
        <v>0</v>
      </c>
      <c r="AL88" s="1">
        <v>0</v>
      </c>
      <c r="AM88" s="1">
        <v>0</v>
      </c>
    </row>
    <row r="89" spans="1:39" x14ac:dyDescent="0.3">
      <c r="A89" s="12">
        <v>87</v>
      </c>
      <c r="B89" s="12" t="s">
        <v>259</v>
      </c>
      <c r="C89" s="13" t="s">
        <v>266</v>
      </c>
      <c r="D89" s="13" t="s">
        <v>267</v>
      </c>
      <c r="E89" s="14"/>
      <c r="F89" s="15">
        <v>0</v>
      </c>
      <c r="G89" s="16">
        <f t="shared" si="34"/>
        <v>0</v>
      </c>
      <c r="H89" s="15"/>
      <c r="I89" s="15">
        <f t="shared" si="22"/>
        <v>0</v>
      </c>
      <c r="J89" s="15"/>
      <c r="K89" s="15">
        <f t="shared" si="35"/>
        <v>0</v>
      </c>
      <c r="L89" s="15"/>
      <c r="M89" s="15">
        <f t="shared" si="23"/>
        <v>0</v>
      </c>
      <c r="N89" s="15"/>
      <c r="O89" s="15">
        <f t="shared" si="24"/>
        <v>0</v>
      </c>
      <c r="P89" s="15"/>
      <c r="Q89" s="15">
        <f t="shared" si="25"/>
        <v>0</v>
      </c>
      <c r="R89" s="15"/>
      <c r="S89" s="15">
        <f t="shared" si="26"/>
        <v>0</v>
      </c>
      <c r="T89" s="15"/>
      <c r="U89" s="15">
        <f t="shared" si="27"/>
        <v>0</v>
      </c>
      <c r="V89" s="15">
        <f t="shared" si="19"/>
        <v>0</v>
      </c>
      <c r="W89" s="17"/>
      <c r="X89" s="17"/>
      <c r="Y89" s="18">
        <v>2.5000000000000001E-2</v>
      </c>
      <c r="Z89" s="1">
        <f t="shared" si="28"/>
        <v>0</v>
      </c>
      <c r="AA89" s="21"/>
      <c r="AC89" s="21"/>
      <c r="AE89" s="19"/>
      <c r="AF89" s="20">
        <f>SUMIF('[1]G-Chart'!G:G,[1]Capacity!D89,'[1]G-Chart'!L:L)</f>
        <v>-25</v>
      </c>
      <c r="AG89" s="2">
        <f t="shared" si="29"/>
        <v>0</v>
      </c>
      <c r="AH89" s="2">
        <f t="shared" si="30"/>
        <v>0</v>
      </c>
      <c r="AI89" s="2">
        <f t="shared" si="36"/>
        <v>0</v>
      </c>
      <c r="AJ89" s="1">
        <f t="shared" si="31"/>
        <v>0</v>
      </c>
      <c r="AK89" s="1">
        <f t="shared" si="32"/>
        <v>0</v>
      </c>
      <c r="AL89" s="1">
        <f t="shared" si="33"/>
        <v>0</v>
      </c>
      <c r="AM89" s="1">
        <f t="shared" si="37"/>
        <v>0</v>
      </c>
    </row>
    <row r="90" spans="1:39" x14ac:dyDescent="0.3">
      <c r="A90" s="12">
        <v>88</v>
      </c>
      <c r="B90" s="12" t="s">
        <v>259</v>
      </c>
      <c r="C90" s="13" t="s">
        <v>268</v>
      </c>
      <c r="D90" s="13" t="s">
        <v>268</v>
      </c>
      <c r="E90" s="14" t="s">
        <v>269</v>
      </c>
      <c r="F90" s="15">
        <v>0</v>
      </c>
      <c r="G90" s="16">
        <f t="shared" si="34"/>
        <v>1.5</v>
      </c>
      <c r="H90" s="15"/>
      <c r="I90" s="15">
        <f t="shared" si="22"/>
        <v>0</v>
      </c>
      <c r="J90" s="15"/>
      <c r="K90" s="15">
        <f t="shared" si="35"/>
        <v>0</v>
      </c>
      <c r="L90" s="15"/>
      <c r="M90" s="15">
        <f t="shared" si="23"/>
        <v>0</v>
      </c>
      <c r="N90" s="15"/>
      <c r="O90" s="15">
        <f t="shared" si="24"/>
        <v>0</v>
      </c>
      <c r="P90" s="15">
        <v>1.5</v>
      </c>
      <c r="Q90" s="15">
        <f t="shared" si="25"/>
        <v>0</v>
      </c>
      <c r="R90" s="15"/>
      <c r="S90" s="15">
        <f t="shared" si="26"/>
        <v>0</v>
      </c>
      <c r="T90" s="15"/>
      <c r="U90" s="15">
        <f t="shared" si="27"/>
        <v>0</v>
      </c>
      <c r="V90" s="15">
        <f t="shared" si="19"/>
        <v>0</v>
      </c>
      <c r="W90" s="17"/>
      <c r="X90" s="17"/>
      <c r="Y90" s="18">
        <v>0.14099999999999999</v>
      </c>
      <c r="Z90" s="1">
        <f t="shared" si="28"/>
        <v>0</v>
      </c>
      <c r="AA90" s="21"/>
      <c r="AC90" s="21"/>
      <c r="AE90" s="19"/>
      <c r="AF90" s="20">
        <f>SUMIF('[1]G-Chart'!G:G,[1]Capacity!D90,'[1]G-Chart'!L:L)</f>
        <v>0</v>
      </c>
      <c r="AG90" s="2">
        <f t="shared" si="29"/>
        <v>0</v>
      </c>
      <c r="AH90" s="2">
        <f t="shared" si="30"/>
        <v>0</v>
      </c>
      <c r="AI90" s="2">
        <f t="shared" si="36"/>
        <v>0</v>
      </c>
      <c r="AJ90" s="1">
        <f t="shared" si="31"/>
        <v>0</v>
      </c>
      <c r="AK90" s="1">
        <f t="shared" si="32"/>
        <v>0</v>
      </c>
      <c r="AL90" s="1">
        <f t="shared" si="33"/>
        <v>0</v>
      </c>
      <c r="AM90" s="1">
        <f t="shared" si="37"/>
        <v>0</v>
      </c>
    </row>
    <row r="91" spans="1:39" x14ac:dyDescent="0.3">
      <c r="A91" s="12">
        <v>89</v>
      </c>
      <c r="B91" s="12" t="s">
        <v>259</v>
      </c>
      <c r="C91" s="13" t="s">
        <v>270</v>
      </c>
      <c r="D91" s="13" t="s">
        <v>270</v>
      </c>
      <c r="E91" s="14" t="s">
        <v>271</v>
      </c>
      <c r="F91" s="15">
        <v>0</v>
      </c>
      <c r="G91" s="16">
        <f t="shared" si="34"/>
        <v>1.5</v>
      </c>
      <c r="H91" s="15"/>
      <c r="I91" s="15">
        <f t="shared" si="22"/>
        <v>0</v>
      </c>
      <c r="J91" s="15"/>
      <c r="K91" s="15">
        <f t="shared" si="35"/>
        <v>0</v>
      </c>
      <c r="L91" s="15"/>
      <c r="M91" s="15">
        <f t="shared" si="23"/>
        <v>0</v>
      </c>
      <c r="N91" s="15"/>
      <c r="O91" s="15">
        <f t="shared" si="24"/>
        <v>0</v>
      </c>
      <c r="P91" s="15">
        <v>1.5</v>
      </c>
      <c r="Q91" s="15">
        <f t="shared" si="25"/>
        <v>0</v>
      </c>
      <c r="R91" s="15"/>
      <c r="S91" s="15">
        <f t="shared" si="26"/>
        <v>0</v>
      </c>
      <c r="T91" s="15"/>
      <c r="U91" s="15">
        <f t="shared" si="27"/>
        <v>0</v>
      </c>
      <c r="V91" s="15">
        <f t="shared" si="19"/>
        <v>0</v>
      </c>
      <c r="W91" s="17"/>
      <c r="X91" s="17"/>
      <c r="Y91" s="18">
        <v>0.14099999999999999</v>
      </c>
      <c r="Z91" s="1">
        <f t="shared" si="28"/>
        <v>0</v>
      </c>
      <c r="AA91" s="21"/>
      <c r="AC91" s="21"/>
      <c r="AE91" s="19"/>
      <c r="AF91" s="20">
        <f>SUMIF('[1]G-Chart'!G:G,[1]Capacity!D91,'[1]G-Chart'!L:L)</f>
        <v>0</v>
      </c>
      <c r="AG91" s="2">
        <f t="shared" si="29"/>
        <v>0</v>
      </c>
      <c r="AH91" s="2">
        <f t="shared" si="30"/>
        <v>0</v>
      </c>
      <c r="AI91" s="2">
        <f t="shared" si="36"/>
        <v>0</v>
      </c>
      <c r="AJ91" s="1">
        <f t="shared" si="31"/>
        <v>0</v>
      </c>
      <c r="AK91" s="1">
        <f t="shared" si="32"/>
        <v>0</v>
      </c>
      <c r="AL91" s="1">
        <f t="shared" si="33"/>
        <v>0</v>
      </c>
      <c r="AM91" s="1">
        <f t="shared" si="37"/>
        <v>0</v>
      </c>
    </row>
    <row r="92" spans="1:39" x14ac:dyDescent="0.3">
      <c r="A92" s="12">
        <v>90</v>
      </c>
      <c r="B92" s="12" t="s">
        <v>259</v>
      </c>
      <c r="C92" s="13" t="s">
        <v>272</v>
      </c>
      <c r="D92" s="13" t="s">
        <v>272</v>
      </c>
      <c r="E92" s="14"/>
      <c r="F92" s="15">
        <v>0</v>
      </c>
      <c r="G92" s="16">
        <f t="shared" si="34"/>
        <v>2</v>
      </c>
      <c r="H92" s="15"/>
      <c r="I92" s="15">
        <f t="shared" si="22"/>
        <v>0</v>
      </c>
      <c r="J92" s="15"/>
      <c r="K92" s="15">
        <f t="shared" si="35"/>
        <v>0</v>
      </c>
      <c r="L92" s="15">
        <v>1</v>
      </c>
      <c r="M92" s="15">
        <f t="shared" si="23"/>
        <v>0</v>
      </c>
      <c r="N92" s="15">
        <v>1</v>
      </c>
      <c r="O92" s="15">
        <f t="shared" si="24"/>
        <v>0</v>
      </c>
      <c r="P92" s="15"/>
      <c r="Q92" s="15">
        <f t="shared" si="25"/>
        <v>0</v>
      </c>
      <c r="R92" s="15"/>
      <c r="S92" s="15">
        <f t="shared" si="26"/>
        <v>0</v>
      </c>
      <c r="T92" s="15"/>
      <c r="U92" s="15">
        <f t="shared" si="27"/>
        <v>0</v>
      </c>
      <c r="V92" s="15">
        <f t="shared" si="19"/>
        <v>0</v>
      </c>
      <c r="W92" s="17"/>
      <c r="X92" s="17"/>
      <c r="Y92" s="18">
        <v>1.2999999999999999E-2</v>
      </c>
      <c r="Z92" s="1">
        <f t="shared" si="28"/>
        <v>0</v>
      </c>
      <c r="AA92" s="21"/>
      <c r="AC92" s="21"/>
      <c r="AE92" s="19"/>
      <c r="AF92" s="20">
        <f>SUMIF('[1]G-Chart'!G:G,[1]Capacity!D92,'[1]G-Chart'!L:L)</f>
        <v>0</v>
      </c>
      <c r="AG92" s="2">
        <f t="shared" si="29"/>
        <v>0</v>
      </c>
      <c r="AH92" s="2">
        <f t="shared" si="30"/>
        <v>0</v>
      </c>
      <c r="AI92" s="2">
        <f t="shared" si="36"/>
        <v>0</v>
      </c>
      <c r="AJ92" s="1">
        <f t="shared" si="31"/>
        <v>0</v>
      </c>
      <c r="AK92" s="1">
        <f t="shared" si="32"/>
        <v>0</v>
      </c>
      <c r="AL92" s="1">
        <f t="shared" si="33"/>
        <v>0</v>
      </c>
      <c r="AM92" s="1">
        <f t="shared" si="37"/>
        <v>0</v>
      </c>
    </row>
    <row r="93" spans="1:39" x14ac:dyDescent="0.3">
      <c r="A93" s="12">
        <v>91</v>
      </c>
      <c r="B93" s="12" t="s">
        <v>259</v>
      </c>
      <c r="C93" s="13" t="s">
        <v>273</v>
      </c>
      <c r="D93" s="13" t="s">
        <v>273</v>
      </c>
      <c r="E93" s="14" t="s">
        <v>274</v>
      </c>
      <c r="F93" s="15">
        <v>0</v>
      </c>
      <c r="G93" s="16">
        <f t="shared" si="34"/>
        <v>2</v>
      </c>
      <c r="H93" s="15"/>
      <c r="I93" s="15">
        <f t="shared" si="22"/>
        <v>0</v>
      </c>
      <c r="J93" s="15"/>
      <c r="K93" s="15">
        <f t="shared" si="35"/>
        <v>0</v>
      </c>
      <c r="L93" s="15"/>
      <c r="M93" s="15">
        <f t="shared" si="23"/>
        <v>0</v>
      </c>
      <c r="N93" s="15"/>
      <c r="O93" s="15">
        <f t="shared" si="24"/>
        <v>0</v>
      </c>
      <c r="P93" s="15"/>
      <c r="Q93" s="15">
        <f t="shared" si="25"/>
        <v>0</v>
      </c>
      <c r="R93" s="15">
        <v>1</v>
      </c>
      <c r="S93" s="15">
        <f t="shared" si="26"/>
        <v>0</v>
      </c>
      <c r="T93" s="15">
        <v>1</v>
      </c>
      <c r="U93" s="15">
        <f t="shared" si="27"/>
        <v>0</v>
      </c>
      <c r="V93" s="15">
        <f t="shared" si="19"/>
        <v>0</v>
      </c>
      <c r="W93" s="17"/>
      <c r="X93" s="17"/>
      <c r="Y93" s="18">
        <v>1.9E-2</v>
      </c>
      <c r="Z93" s="1">
        <f t="shared" si="28"/>
        <v>0</v>
      </c>
      <c r="AA93" s="21"/>
      <c r="AC93" s="21"/>
      <c r="AE93" s="19"/>
      <c r="AF93" s="20">
        <f>SUMIF('[1]G-Chart'!G:G,[1]Capacity!D93,'[1]G-Chart'!L:L)</f>
        <v>0</v>
      </c>
      <c r="AG93" s="2">
        <f t="shared" si="29"/>
        <v>0</v>
      </c>
      <c r="AH93" s="2">
        <f t="shared" si="30"/>
        <v>0</v>
      </c>
      <c r="AI93" s="2">
        <f t="shared" si="36"/>
        <v>0</v>
      </c>
      <c r="AJ93" s="1">
        <f t="shared" si="31"/>
        <v>0</v>
      </c>
      <c r="AK93" s="1">
        <f t="shared" si="32"/>
        <v>0</v>
      </c>
      <c r="AL93" s="1">
        <f t="shared" si="33"/>
        <v>0</v>
      </c>
      <c r="AM93" s="1">
        <f t="shared" si="37"/>
        <v>0</v>
      </c>
    </row>
    <row r="94" spans="1:39" x14ac:dyDescent="0.3">
      <c r="A94" s="12">
        <v>92</v>
      </c>
      <c r="B94" s="24" t="s">
        <v>259</v>
      </c>
      <c r="C94" s="25" t="s">
        <v>275</v>
      </c>
      <c r="D94" s="25" t="s">
        <v>275</v>
      </c>
      <c r="E94" s="27"/>
      <c r="F94" s="28">
        <v>0</v>
      </c>
      <c r="G94" s="29">
        <f t="shared" si="34"/>
        <v>2</v>
      </c>
      <c r="H94" s="15"/>
      <c r="I94" s="15">
        <f t="shared" si="22"/>
        <v>0</v>
      </c>
      <c r="J94" s="15"/>
      <c r="K94" s="15">
        <f t="shared" si="35"/>
        <v>0</v>
      </c>
      <c r="L94" s="15">
        <v>1</v>
      </c>
      <c r="M94" s="15">
        <f t="shared" si="23"/>
        <v>0</v>
      </c>
      <c r="N94" s="15">
        <v>1</v>
      </c>
      <c r="O94" s="15">
        <f t="shared" si="24"/>
        <v>0</v>
      </c>
      <c r="P94" s="15"/>
      <c r="Q94" s="15">
        <f t="shared" si="25"/>
        <v>0</v>
      </c>
      <c r="R94" s="15"/>
      <c r="S94" s="15">
        <f t="shared" si="26"/>
        <v>0</v>
      </c>
      <c r="T94" s="15"/>
      <c r="U94" s="15">
        <f t="shared" si="27"/>
        <v>0</v>
      </c>
      <c r="V94" s="15">
        <f t="shared" si="19"/>
        <v>0</v>
      </c>
      <c r="W94" s="17"/>
      <c r="X94" s="17"/>
      <c r="Y94" s="18">
        <v>1.9E-2</v>
      </c>
      <c r="Z94" s="1">
        <f t="shared" si="28"/>
        <v>0</v>
      </c>
      <c r="AA94" s="21"/>
      <c r="AC94" s="21"/>
      <c r="AE94" s="19"/>
      <c r="AF94" s="20">
        <f>SUMIF('[1]G-Chart'!G:G,[1]Capacity!D94,'[1]G-Chart'!L:L)</f>
        <v>0</v>
      </c>
      <c r="AG94" s="2">
        <f t="shared" si="29"/>
        <v>0</v>
      </c>
      <c r="AH94" s="2">
        <f t="shared" si="30"/>
        <v>0</v>
      </c>
      <c r="AI94" s="2">
        <f t="shared" si="36"/>
        <v>0</v>
      </c>
      <c r="AJ94" s="1">
        <f t="shared" si="31"/>
        <v>0</v>
      </c>
      <c r="AK94" s="1">
        <f t="shared" si="32"/>
        <v>0</v>
      </c>
      <c r="AL94" s="1">
        <f t="shared" si="33"/>
        <v>0</v>
      </c>
      <c r="AM94" s="1">
        <f t="shared" si="37"/>
        <v>0</v>
      </c>
    </row>
    <row r="95" spans="1:39" x14ac:dyDescent="0.3">
      <c r="A95" s="12">
        <v>93</v>
      </c>
      <c r="B95" s="12" t="s">
        <v>276</v>
      </c>
      <c r="C95" s="13" t="s">
        <v>277</v>
      </c>
      <c r="D95" s="22" t="s">
        <v>278</v>
      </c>
      <c r="E95" s="14" t="s">
        <v>279</v>
      </c>
      <c r="F95" s="15">
        <f t="shared" ref="F95:F109" si="38">+AB95</f>
        <v>2404</v>
      </c>
      <c r="G95" s="15">
        <f t="shared" si="34"/>
        <v>4</v>
      </c>
      <c r="H95" s="15"/>
      <c r="I95" s="15">
        <f t="shared" si="22"/>
        <v>0</v>
      </c>
      <c r="J95" s="15"/>
      <c r="K95" s="15">
        <f t="shared" si="35"/>
        <v>0</v>
      </c>
      <c r="L95" s="15"/>
      <c r="M95" s="15">
        <f t="shared" si="23"/>
        <v>0</v>
      </c>
      <c r="N95" s="15"/>
      <c r="O95" s="15">
        <f t="shared" si="24"/>
        <v>0</v>
      </c>
      <c r="P95" s="15">
        <v>2</v>
      </c>
      <c r="Q95" s="15">
        <f t="shared" si="25"/>
        <v>4808</v>
      </c>
      <c r="R95" s="15">
        <v>2</v>
      </c>
      <c r="S95" s="15">
        <f t="shared" si="26"/>
        <v>4808</v>
      </c>
      <c r="T95" s="15"/>
      <c r="U95" s="15">
        <f t="shared" si="27"/>
        <v>0</v>
      </c>
      <c r="V95" s="15">
        <f t="shared" si="19"/>
        <v>9616</v>
      </c>
      <c r="W95" s="17"/>
      <c r="X95" s="17"/>
      <c r="Y95" s="18">
        <v>5.5E-2</v>
      </c>
      <c r="Z95" s="1">
        <f t="shared" si="28"/>
        <v>96.16</v>
      </c>
      <c r="AA95" s="21">
        <v>2</v>
      </c>
      <c r="AB95" s="1">
        <f>AA95*AD51</f>
        <v>2404</v>
      </c>
      <c r="AC95" s="21"/>
      <c r="AE95" s="19"/>
      <c r="AF95" s="20">
        <f>SUMIF('[1]G-Chart'!G:G,[1]Capacity!D95,'[1]G-Chart'!L:L)</f>
        <v>592</v>
      </c>
      <c r="AG95" s="2">
        <f t="shared" si="29"/>
        <v>0</v>
      </c>
      <c r="AH95" s="2">
        <f t="shared" si="30"/>
        <v>0</v>
      </c>
      <c r="AI95" s="2">
        <f t="shared" si="36"/>
        <v>0</v>
      </c>
      <c r="AJ95" s="1">
        <f t="shared" si="31"/>
        <v>1184</v>
      </c>
      <c r="AK95" s="1">
        <f t="shared" si="32"/>
        <v>1184</v>
      </c>
      <c r="AL95" s="1">
        <f t="shared" si="33"/>
        <v>0</v>
      </c>
      <c r="AM95" s="1">
        <f t="shared" si="37"/>
        <v>2368</v>
      </c>
    </row>
    <row r="96" spans="1:39" x14ac:dyDescent="0.3">
      <c r="A96" s="12">
        <v>94</v>
      </c>
      <c r="B96" s="39" t="s">
        <v>276</v>
      </c>
      <c r="C96" s="26" t="s">
        <v>280</v>
      </c>
      <c r="D96" s="40" t="s">
        <v>281</v>
      </c>
      <c r="E96" s="27" t="s">
        <v>282</v>
      </c>
      <c r="F96" s="28">
        <f t="shared" si="38"/>
        <v>0</v>
      </c>
      <c r="G96" s="29">
        <f t="shared" si="34"/>
        <v>0</v>
      </c>
      <c r="H96" s="15"/>
      <c r="I96" s="15">
        <f t="shared" si="22"/>
        <v>0</v>
      </c>
      <c r="J96" s="15"/>
      <c r="K96" s="15">
        <f t="shared" si="35"/>
        <v>0</v>
      </c>
      <c r="L96" s="15"/>
      <c r="M96" s="15">
        <f t="shared" si="23"/>
        <v>0</v>
      </c>
      <c r="N96" s="15"/>
      <c r="O96" s="15">
        <f t="shared" si="24"/>
        <v>0</v>
      </c>
      <c r="P96" s="15"/>
      <c r="Q96" s="15">
        <f t="shared" si="25"/>
        <v>0</v>
      </c>
      <c r="R96" s="15"/>
      <c r="S96" s="15">
        <f t="shared" si="26"/>
        <v>0</v>
      </c>
      <c r="T96" s="15"/>
      <c r="U96" s="15">
        <f t="shared" si="27"/>
        <v>0</v>
      </c>
      <c r="V96" s="15">
        <f t="shared" si="19"/>
        <v>0</v>
      </c>
      <c r="W96" s="17"/>
      <c r="X96" s="17"/>
      <c r="Y96" s="18">
        <v>0.23799999999999999</v>
      </c>
      <c r="Z96" s="1">
        <f t="shared" si="28"/>
        <v>0</v>
      </c>
      <c r="AA96" s="21">
        <v>1</v>
      </c>
      <c r="AB96" s="1">
        <v>0</v>
      </c>
      <c r="AC96" s="21"/>
      <c r="AE96" s="19"/>
      <c r="AF96" s="20">
        <f>SUMIF('[1]G-Chart'!G:G,[1]Capacity!D96,'[1]G-Chart'!L:L)</f>
        <v>0</v>
      </c>
      <c r="AG96" s="2">
        <f t="shared" si="29"/>
        <v>0</v>
      </c>
      <c r="AH96" s="2">
        <f t="shared" si="30"/>
        <v>0</v>
      </c>
      <c r="AI96" s="2">
        <f t="shared" si="36"/>
        <v>0</v>
      </c>
      <c r="AJ96" s="1">
        <f t="shared" si="31"/>
        <v>0</v>
      </c>
      <c r="AK96" s="1">
        <f t="shared" si="32"/>
        <v>0</v>
      </c>
      <c r="AL96" s="1">
        <f t="shared" si="33"/>
        <v>0</v>
      </c>
      <c r="AM96" s="1">
        <f t="shared" si="37"/>
        <v>0</v>
      </c>
    </row>
    <row r="97" spans="1:39" x14ac:dyDescent="0.3">
      <c r="A97" s="12">
        <v>95</v>
      </c>
      <c r="B97" s="12" t="s">
        <v>276</v>
      </c>
      <c r="C97" s="13" t="s">
        <v>283</v>
      </c>
      <c r="D97" s="41" t="s">
        <v>284</v>
      </c>
      <c r="E97" s="14" t="s">
        <v>285</v>
      </c>
      <c r="F97" s="15">
        <f t="shared" si="38"/>
        <v>0</v>
      </c>
      <c r="G97" s="15">
        <f t="shared" si="34"/>
        <v>4</v>
      </c>
      <c r="H97" s="15"/>
      <c r="I97" s="15">
        <f t="shared" si="22"/>
        <v>0</v>
      </c>
      <c r="J97" s="15"/>
      <c r="K97" s="15">
        <f t="shared" si="35"/>
        <v>0</v>
      </c>
      <c r="L97" s="15">
        <v>2</v>
      </c>
      <c r="M97" s="15">
        <f t="shared" si="23"/>
        <v>0</v>
      </c>
      <c r="N97" s="15">
        <v>2</v>
      </c>
      <c r="O97" s="15">
        <f t="shared" si="24"/>
        <v>0</v>
      </c>
      <c r="P97" s="15"/>
      <c r="Q97" s="15">
        <f t="shared" si="25"/>
        <v>0</v>
      </c>
      <c r="R97" s="15"/>
      <c r="S97" s="15">
        <f t="shared" si="26"/>
        <v>0</v>
      </c>
      <c r="T97" s="15"/>
      <c r="U97" s="15">
        <f t="shared" si="27"/>
        <v>0</v>
      </c>
      <c r="V97" s="15">
        <f t="shared" si="19"/>
        <v>0</v>
      </c>
      <c r="W97" s="17"/>
      <c r="X97" s="17"/>
      <c r="Y97" s="18">
        <v>7.0000000000000007E-2</v>
      </c>
      <c r="Z97" s="1">
        <f t="shared" si="28"/>
        <v>0</v>
      </c>
      <c r="AA97" s="21">
        <v>1</v>
      </c>
      <c r="AB97" s="1">
        <v>0</v>
      </c>
      <c r="AC97" s="21"/>
      <c r="AE97" s="19"/>
      <c r="AF97" s="20">
        <f>SUMIF('[1]G-Chart'!G:G,[1]Capacity!D97,'[1]G-Chart'!L:L)</f>
        <v>0</v>
      </c>
      <c r="AG97" s="2">
        <f t="shared" si="29"/>
        <v>0</v>
      </c>
      <c r="AH97" s="2">
        <f t="shared" si="30"/>
        <v>0</v>
      </c>
      <c r="AI97" s="2">
        <f t="shared" si="36"/>
        <v>0</v>
      </c>
      <c r="AJ97" s="1">
        <f t="shared" si="31"/>
        <v>0</v>
      </c>
      <c r="AK97" s="1">
        <f t="shared" si="32"/>
        <v>0</v>
      </c>
      <c r="AL97" s="1">
        <f t="shared" si="33"/>
        <v>0</v>
      </c>
      <c r="AM97" s="1">
        <f t="shared" si="37"/>
        <v>0</v>
      </c>
    </row>
    <row r="98" spans="1:39" x14ac:dyDescent="0.3">
      <c r="A98" s="12">
        <v>96</v>
      </c>
      <c r="B98" s="12" t="s">
        <v>276</v>
      </c>
      <c r="C98" s="13" t="s">
        <v>286</v>
      </c>
      <c r="D98" s="42" t="s">
        <v>287</v>
      </c>
      <c r="E98" s="14" t="s">
        <v>288</v>
      </c>
      <c r="F98" s="15">
        <f t="shared" si="38"/>
        <v>0</v>
      </c>
      <c r="G98" s="15">
        <f t="shared" si="34"/>
        <v>4</v>
      </c>
      <c r="H98" s="15"/>
      <c r="I98" s="15">
        <f t="shared" si="22"/>
        <v>0</v>
      </c>
      <c r="J98" s="15"/>
      <c r="K98" s="15">
        <f t="shared" si="35"/>
        <v>0</v>
      </c>
      <c r="L98" s="15">
        <v>2</v>
      </c>
      <c r="M98" s="15">
        <f t="shared" si="23"/>
        <v>0</v>
      </c>
      <c r="N98" s="15">
        <v>2</v>
      </c>
      <c r="O98" s="15">
        <f t="shared" si="24"/>
        <v>0</v>
      </c>
      <c r="P98" s="15"/>
      <c r="Q98" s="15">
        <f t="shared" si="25"/>
        <v>0</v>
      </c>
      <c r="R98" s="15"/>
      <c r="S98" s="15">
        <f t="shared" si="26"/>
        <v>0</v>
      </c>
      <c r="T98" s="15"/>
      <c r="U98" s="15">
        <f t="shared" si="27"/>
        <v>0</v>
      </c>
      <c r="V98" s="15">
        <f t="shared" si="19"/>
        <v>0</v>
      </c>
      <c r="W98" s="17"/>
      <c r="X98" s="17"/>
      <c r="Y98" s="18">
        <v>7.0000000000000007E-2</v>
      </c>
      <c r="Z98" s="1">
        <f t="shared" si="28"/>
        <v>0</v>
      </c>
      <c r="AA98" s="21">
        <v>1</v>
      </c>
      <c r="AB98" s="1">
        <v>0</v>
      </c>
      <c r="AC98" s="21"/>
      <c r="AE98" s="19"/>
      <c r="AF98" s="20">
        <f>SUMIF('[1]G-Chart'!G:G,[1]Capacity!D98,'[1]G-Chart'!L:L)</f>
        <v>0</v>
      </c>
      <c r="AG98" s="2">
        <f t="shared" si="29"/>
        <v>0</v>
      </c>
      <c r="AH98" s="2">
        <f t="shared" si="30"/>
        <v>0</v>
      </c>
      <c r="AI98" s="2">
        <f t="shared" si="36"/>
        <v>0</v>
      </c>
      <c r="AJ98" s="1">
        <f t="shared" si="31"/>
        <v>0</v>
      </c>
      <c r="AK98" s="1">
        <f t="shared" si="32"/>
        <v>0</v>
      </c>
      <c r="AL98" s="1">
        <f t="shared" si="33"/>
        <v>0</v>
      </c>
      <c r="AM98" s="1">
        <f t="shared" si="37"/>
        <v>0</v>
      </c>
    </row>
    <row r="99" spans="1:39" x14ac:dyDescent="0.3">
      <c r="A99" s="12">
        <v>97</v>
      </c>
      <c r="B99" s="43" t="s">
        <v>276</v>
      </c>
      <c r="C99" s="23" t="s">
        <v>289</v>
      </c>
      <c r="D99" s="23" t="s">
        <v>290</v>
      </c>
      <c r="E99" s="14" t="s">
        <v>291</v>
      </c>
      <c r="F99" s="15">
        <f t="shared" si="38"/>
        <v>0</v>
      </c>
      <c r="G99" s="16">
        <f t="shared" si="34"/>
        <v>2.5</v>
      </c>
      <c r="H99" s="15"/>
      <c r="I99" s="15">
        <f t="shared" si="22"/>
        <v>0</v>
      </c>
      <c r="J99" s="15"/>
      <c r="K99" s="15">
        <f t="shared" si="35"/>
        <v>0</v>
      </c>
      <c r="L99" s="15">
        <v>1</v>
      </c>
      <c r="M99" s="15">
        <f t="shared" si="23"/>
        <v>0</v>
      </c>
      <c r="N99" s="15">
        <v>1</v>
      </c>
      <c r="O99" s="15">
        <f t="shared" si="24"/>
        <v>0</v>
      </c>
      <c r="P99" s="15">
        <v>0.5</v>
      </c>
      <c r="Q99" s="15">
        <f t="shared" si="25"/>
        <v>0</v>
      </c>
      <c r="R99" s="15"/>
      <c r="S99" s="15">
        <f t="shared" si="26"/>
        <v>0</v>
      </c>
      <c r="T99" s="15"/>
      <c r="U99" s="15">
        <f t="shared" si="27"/>
        <v>0</v>
      </c>
      <c r="V99" s="15">
        <f t="shared" si="19"/>
        <v>0</v>
      </c>
      <c r="W99" s="17"/>
      <c r="X99" s="17"/>
      <c r="Y99" s="18">
        <v>8.7999999999999995E-2</v>
      </c>
      <c r="Z99" s="1">
        <f t="shared" si="28"/>
        <v>0</v>
      </c>
      <c r="AA99" s="21">
        <v>1</v>
      </c>
      <c r="AB99" s="1">
        <v>0</v>
      </c>
      <c r="AC99" s="21"/>
      <c r="AE99" s="19"/>
      <c r="AF99" s="20">
        <f>SUMIF('[1]G-Chart'!G:G,[1]Capacity!D99,'[1]G-Chart'!L:L)</f>
        <v>0</v>
      </c>
      <c r="AG99" s="2">
        <f t="shared" si="29"/>
        <v>0</v>
      </c>
      <c r="AH99" s="2">
        <f t="shared" si="30"/>
        <v>0</v>
      </c>
      <c r="AI99" s="2">
        <f t="shared" si="36"/>
        <v>0</v>
      </c>
      <c r="AJ99" s="1">
        <f t="shared" si="31"/>
        <v>0</v>
      </c>
      <c r="AK99" s="1">
        <f t="shared" si="32"/>
        <v>0</v>
      </c>
      <c r="AL99" s="1">
        <f t="shared" si="33"/>
        <v>0</v>
      </c>
      <c r="AM99" s="1">
        <f t="shared" si="37"/>
        <v>0</v>
      </c>
    </row>
    <row r="100" spans="1:39" x14ac:dyDescent="0.3">
      <c r="A100" s="12">
        <v>98</v>
      </c>
      <c r="B100" s="43" t="s">
        <v>276</v>
      </c>
      <c r="C100" s="23" t="s">
        <v>292</v>
      </c>
      <c r="D100" s="23" t="s">
        <v>293</v>
      </c>
      <c r="E100" s="14" t="s">
        <v>294</v>
      </c>
      <c r="F100" s="15">
        <f t="shared" si="38"/>
        <v>0</v>
      </c>
      <c r="G100" s="16">
        <f t="shared" si="34"/>
        <v>2.5</v>
      </c>
      <c r="H100" s="15"/>
      <c r="I100" s="15">
        <f t="shared" si="22"/>
        <v>0</v>
      </c>
      <c r="J100" s="15"/>
      <c r="K100" s="15">
        <f t="shared" si="35"/>
        <v>0</v>
      </c>
      <c r="L100" s="15">
        <v>1</v>
      </c>
      <c r="M100" s="15">
        <f t="shared" si="23"/>
        <v>0</v>
      </c>
      <c r="N100" s="15">
        <v>1</v>
      </c>
      <c r="O100" s="15">
        <f t="shared" si="24"/>
        <v>0</v>
      </c>
      <c r="P100" s="15">
        <v>0.5</v>
      </c>
      <c r="Q100" s="15">
        <f t="shared" si="25"/>
        <v>0</v>
      </c>
      <c r="R100" s="15"/>
      <c r="S100" s="15">
        <f t="shared" si="26"/>
        <v>0</v>
      </c>
      <c r="T100" s="15"/>
      <c r="U100" s="15">
        <f t="shared" si="27"/>
        <v>0</v>
      </c>
      <c r="V100" s="15">
        <f t="shared" si="19"/>
        <v>0</v>
      </c>
      <c r="W100" s="17"/>
      <c r="X100" s="17"/>
      <c r="Y100" s="18">
        <v>8.7999999999999995E-2</v>
      </c>
      <c r="Z100" s="1">
        <f t="shared" si="28"/>
        <v>0</v>
      </c>
      <c r="AA100" s="21">
        <v>1</v>
      </c>
      <c r="AB100" s="1">
        <v>0</v>
      </c>
      <c r="AC100" s="21"/>
      <c r="AE100" s="19"/>
      <c r="AF100" s="20">
        <f>SUMIF('[1]G-Chart'!G:G,[1]Capacity!D100,'[1]G-Chart'!L:L)</f>
        <v>0</v>
      </c>
      <c r="AG100" s="2">
        <f t="shared" si="29"/>
        <v>0</v>
      </c>
      <c r="AH100" s="2">
        <f t="shared" si="30"/>
        <v>0</v>
      </c>
      <c r="AI100" s="2">
        <f t="shared" si="36"/>
        <v>0</v>
      </c>
      <c r="AJ100" s="1">
        <f t="shared" si="31"/>
        <v>0</v>
      </c>
      <c r="AK100" s="1">
        <f t="shared" si="32"/>
        <v>0</v>
      </c>
      <c r="AL100" s="1">
        <f t="shared" si="33"/>
        <v>0</v>
      </c>
      <c r="AM100" s="1">
        <f t="shared" si="37"/>
        <v>0</v>
      </c>
    </row>
    <row r="101" spans="1:39" x14ac:dyDescent="0.3">
      <c r="A101" s="12">
        <v>99</v>
      </c>
      <c r="B101" s="43" t="s">
        <v>276</v>
      </c>
      <c r="C101" s="23" t="s">
        <v>295</v>
      </c>
      <c r="D101" s="23" t="s">
        <v>296</v>
      </c>
      <c r="E101" s="14" t="s">
        <v>297</v>
      </c>
      <c r="F101" s="15">
        <f t="shared" si="38"/>
        <v>0</v>
      </c>
      <c r="G101" s="16">
        <f t="shared" si="34"/>
        <v>3</v>
      </c>
      <c r="H101" s="15"/>
      <c r="I101" s="15">
        <f t="shared" si="22"/>
        <v>0</v>
      </c>
      <c r="J101" s="15"/>
      <c r="K101" s="15">
        <f t="shared" si="35"/>
        <v>0</v>
      </c>
      <c r="L101" s="15"/>
      <c r="M101" s="15">
        <f t="shared" si="23"/>
        <v>0</v>
      </c>
      <c r="N101" s="15"/>
      <c r="O101" s="15">
        <f t="shared" si="24"/>
        <v>0</v>
      </c>
      <c r="P101" s="15">
        <v>1</v>
      </c>
      <c r="Q101" s="15">
        <f t="shared" si="25"/>
        <v>0</v>
      </c>
      <c r="R101" s="15">
        <v>1</v>
      </c>
      <c r="S101" s="15">
        <f t="shared" si="26"/>
        <v>0</v>
      </c>
      <c r="T101" s="15">
        <v>1</v>
      </c>
      <c r="U101" s="15">
        <f t="shared" si="27"/>
        <v>0</v>
      </c>
      <c r="V101" s="15">
        <f t="shared" si="19"/>
        <v>0</v>
      </c>
      <c r="W101" s="17"/>
      <c r="X101" s="17"/>
      <c r="Y101" s="18">
        <v>0.221</v>
      </c>
      <c r="Z101" s="1">
        <f t="shared" si="28"/>
        <v>0</v>
      </c>
      <c r="AA101" s="21">
        <v>2</v>
      </c>
      <c r="AB101" s="1">
        <v>0</v>
      </c>
      <c r="AC101" s="21"/>
      <c r="AE101" s="19"/>
      <c r="AF101" s="20">
        <f>SUMIF('[1]G-Chart'!G:G,[1]Capacity!D101,'[1]G-Chart'!L:L)</f>
        <v>2</v>
      </c>
      <c r="AG101" s="2">
        <f t="shared" si="29"/>
        <v>0</v>
      </c>
      <c r="AH101" s="2">
        <f t="shared" si="30"/>
        <v>0</v>
      </c>
      <c r="AI101" s="2">
        <f t="shared" si="36"/>
        <v>0</v>
      </c>
      <c r="AJ101" s="1">
        <f t="shared" si="31"/>
        <v>2</v>
      </c>
      <c r="AK101" s="1">
        <f t="shared" si="32"/>
        <v>2</v>
      </c>
      <c r="AL101" s="1">
        <f t="shared" si="33"/>
        <v>2</v>
      </c>
      <c r="AM101" s="1">
        <f t="shared" si="37"/>
        <v>6</v>
      </c>
    </row>
    <row r="102" spans="1:39" x14ac:dyDescent="0.3">
      <c r="A102" s="12">
        <v>100</v>
      </c>
      <c r="B102" s="39" t="s">
        <v>276</v>
      </c>
      <c r="C102" s="26" t="s">
        <v>298</v>
      </c>
      <c r="D102" s="40" t="s">
        <v>299</v>
      </c>
      <c r="E102" s="27" t="s">
        <v>300</v>
      </c>
      <c r="F102" s="28">
        <f t="shared" si="38"/>
        <v>0</v>
      </c>
      <c r="G102" s="29">
        <f t="shared" si="34"/>
        <v>3</v>
      </c>
      <c r="H102" s="15"/>
      <c r="I102" s="15">
        <f t="shared" si="22"/>
        <v>0</v>
      </c>
      <c r="J102" s="15"/>
      <c r="K102" s="15">
        <f t="shared" si="35"/>
        <v>0</v>
      </c>
      <c r="L102" s="15"/>
      <c r="M102" s="15">
        <f t="shared" si="23"/>
        <v>0</v>
      </c>
      <c r="N102" s="15"/>
      <c r="O102" s="15">
        <f t="shared" si="24"/>
        <v>0</v>
      </c>
      <c r="P102" s="15">
        <v>1</v>
      </c>
      <c r="Q102" s="15">
        <f t="shared" si="25"/>
        <v>0</v>
      </c>
      <c r="R102" s="15">
        <v>1</v>
      </c>
      <c r="S102" s="15">
        <f t="shared" si="26"/>
        <v>0</v>
      </c>
      <c r="T102" s="15">
        <v>1</v>
      </c>
      <c r="U102" s="15">
        <f t="shared" si="27"/>
        <v>0</v>
      </c>
      <c r="V102" s="15">
        <f t="shared" si="19"/>
        <v>0</v>
      </c>
      <c r="W102" s="17"/>
      <c r="X102" s="17"/>
      <c r="Y102" s="18">
        <v>9.4E-2</v>
      </c>
      <c r="Z102" s="1">
        <f t="shared" si="28"/>
        <v>0</v>
      </c>
      <c r="AA102" s="21">
        <v>1</v>
      </c>
      <c r="AB102" s="1">
        <v>0</v>
      </c>
      <c r="AC102" s="21"/>
      <c r="AE102" s="19"/>
      <c r="AF102" s="20">
        <f>SUMIF('[1]G-Chart'!G:G,[1]Capacity!D102,'[1]G-Chart'!L:L)</f>
        <v>118</v>
      </c>
      <c r="AG102" s="2">
        <f t="shared" si="29"/>
        <v>0</v>
      </c>
      <c r="AH102" s="2">
        <f t="shared" si="30"/>
        <v>0</v>
      </c>
      <c r="AI102" s="2">
        <f t="shared" si="36"/>
        <v>0</v>
      </c>
      <c r="AJ102" s="1">
        <v>0</v>
      </c>
      <c r="AK102" s="1">
        <v>0</v>
      </c>
      <c r="AL102" s="1">
        <v>0</v>
      </c>
      <c r="AM102" s="1">
        <v>0</v>
      </c>
    </row>
    <row r="103" spans="1:39" x14ac:dyDescent="0.3">
      <c r="A103" s="12">
        <v>101</v>
      </c>
      <c r="B103" s="12" t="s">
        <v>276</v>
      </c>
      <c r="C103" s="13" t="s">
        <v>301</v>
      </c>
      <c r="D103" s="22" t="s">
        <v>302</v>
      </c>
      <c r="E103" s="14" t="s">
        <v>303</v>
      </c>
      <c r="F103" s="15">
        <f t="shared" si="38"/>
        <v>2404</v>
      </c>
      <c r="G103" s="15">
        <f t="shared" si="34"/>
        <v>4</v>
      </c>
      <c r="H103" s="15"/>
      <c r="I103" s="15">
        <f t="shared" si="22"/>
        <v>0</v>
      </c>
      <c r="J103" s="15"/>
      <c r="K103" s="15">
        <f t="shared" si="35"/>
        <v>0</v>
      </c>
      <c r="L103" s="15">
        <v>2</v>
      </c>
      <c r="M103" s="15">
        <f t="shared" si="23"/>
        <v>4808</v>
      </c>
      <c r="N103" s="15">
        <v>2</v>
      </c>
      <c r="O103" s="15">
        <f t="shared" si="24"/>
        <v>4808</v>
      </c>
      <c r="P103" s="15"/>
      <c r="Q103" s="15">
        <f t="shared" si="25"/>
        <v>0</v>
      </c>
      <c r="R103" s="15"/>
      <c r="S103" s="15">
        <f t="shared" si="26"/>
        <v>0</v>
      </c>
      <c r="T103" s="15"/>
      <c r="U103" s="15">
        <f t="shared" si="27"/>
        <v>0</v>
      </c>
      <c r="V103" s="15">
        <f t="shared" si="19"/>
        <v>9616</v>
      </c>
      <c r="W103" s="17"/>
      <c r="X103" s="17"/>
      <c r="Y103" s="18">
        <v>0.248</v>
      </c>
      <c r="Z103" s="1">
        <f t="shared" si="28"/>
        <v>96.16</v>
      </c>
      <c r="AA103" s="21">
        <v>2</v>
      </c>
      <c r="AB103" s="1">
        <f>AA103*AD51</f>
        <v>2404</v>
      </c>
      <c r="AC103" s="21"/>
      <c r="AE103" s="19"/>
      <c r="AF103" s="20">
        <f>SUMIF('[1]G-Chart'!G:G,[1]Capacity!D103,'[1]G-Chart'!L:L)</f>
        <v>0</v>
      </c>
      <c r="AG103" s="2">
        <f t="shared" si="29"/>
        <v>0</v>
      </c>
      <c r="AH103" s="2">
        <f t="shared" si="30"/>
        <v>0</v>
      </c>
      <c r="AI103" s="2">
        <f t="shared" si="36"/>
        <v>0</v>
      </c>
      <c r="AJ103" s="1">
        <f t="shared" si="31"/>
        <v>0</v>
      </c>
      <c r="AK103" s="1">
        <f t="shared" si="32"/>
        <v>0</v>
      </c>
      <c r="AL103" s="1">
        <f t="shared" si="33"/>
        <v>0</v>
      </c>
      <c r="AM103" s="1">
        <f t="shared" si="37"/>
        <v>0</v>
      </c>
    </row>
    <row r="104" spans="1:39" x14ac:dyDescent="0.3">
      <c r="A104" s="12">
        <v>102</v>
      </c>
      <c r="B104" s="12" t="s">
        <v>276</v>
      </c>
      <c r="C104" s="13" t="s">
        <v>304</v>
      </c>
      <c r="D104" s="13" t="s">
        <v>305</v>
      </c>
      <c r="E104" s="14" t="s">
        <v>306</v>
      </c>
      <c r="F104" s="15">
        <f>+AB104</f>
        <v>2404</v>
      </c>
      <c r="G104" s="16">
        <f t="shared" si="34"/>
        <v>3</v>
      </c>
      <c r="H104" s="15"/>
      <c r="I104" s="15">
        <f t="shared" si="22"/>
        <v>0</v>
      </c>
      <c r="J104" s="15"/>
      <c r="K104" s="15">
        <f t="shared" si="35"/>
        <v>0</v>
      </c>
      <c r="L104" s="15">
        <v>1</v>
      </c>
      <c r="M104" s="15">
        <f t="shared" si="23"/>
        <v>2404</v>
      </c>
      <c r="N104" s="15">
        <v>1</v>
      </c>
      <c r="O104" s="15">
        <f t="shared" si="24"/>
        <v>2404</v>
      </c>
      <c r="P104" s="15">
        <v>1</v>
      </c>
      <c r="Q104" s="15">
        <f t="shared" si="25"/>
        <v>2404</v>
      </c>
      <c r="R104" s="15"/>
      <c r="S104" s="15">
        <f t="shared" si="26"/>
        <v>0</v>
      </c>
      <c r="T104" s="15"/>
      <c r="U104" s="15">
        <f t="shared" si="27"/>
        <v>0</v>
      </c>
      <c r="V104" s="15">
        <f t="shared" si="19"/>
        <v>7212</v>
      </c>
      <c r="W104" s="17"/>
      <c r="X104" s="17"/>
      <c r="Y104" s="18">
        <v>9.4E-2</v>
      </c>
      <c r="Z104" s="1">
        <f t="shared" si="28"/>
        <v>96.16</v>
      </c>
      <c r="AA104" s="21">
        <v>1</v>
      </c>
      <c r="AB104" s="1">
        <f>AA104*$AD$39</f>
        <v>2404</v>
      </c>
      <c r="AC104" s="21"/>
      <c r="AE104" s="19"/>
      <c r="AF104" s="20">
        <f>SUMIF('[1]G-Chart'!G:G,[1]Capacity!D104,'[1]G-Chart'!L:L)</f>
        <v>692</v>
      </c>
      <c r="AG104" s="2">
        <f t="shared" si="29"/>
        <v>0</v>
      </c>
      <c r="AH104" s="2">
        <f t="shared" si="30"/>
        <v>692</v>
      </c>
      <c r="AI104" s="2">
        <f t="shared" si="36"/>
        <v>692</v>
      </c>
      <c r="AJ104" s="1">
        <f t="shared" si="31"/>
        <v>692</v>
      </c>
      <c r="AK104" s="1">
        <f t="shared" si="32"/>
        <v>0</v>
      </c>
      <c r="AL104" s="1">
        <f t="shared" si="33"/>
        <v>0</v>
      </c>
      <c r="AM104" s="1">
        <f t="shared" si="37"/>
        <v>2076</v>
      </c>
    </row>
    <row r="105" spans="1:39" x14ac:dyDescent="0.3">
      <c r="A105" s="12">
        <v>103</v>
      </c>
      <c r="B105" s="12" t="s">
        <v>276</v>
      </c>
      <c r="C105" s="13" t="s">
        <v>307</v>
      </c>
      <c r="D105" s="13" t="s">
        <v>308</v>
      </c>
      <c r="E105" s="14" t="s">
        <v>309</v>
      </c>
      <c r="F105" s="15">
        <f t="shared" si="38"/>
        <v>2404</v>
      </c>
      <c r="G105" s="16">
        <f t="shared" si="34"/>
        <v>3</v>
      </c>
      <c r="H105" s="15"/>
      <c r="I105" s="15">
        <f t="shared" si="22"/>
        <v>0</v>
      </c>
      <c r="J105" s="15"/>
      <c r="K105" s="15">
        <f t="shared" si="35"/>
        <v>0</v>
      </c>
      <c r="L105" s="15">
        <v>1</v>
      </c>
      <c r="M105" s="15">
        <f t="shared" si="23"/>
        <v>2404</v>
      </c>
      <c r="N105" s="15">
        <v>1</v>
      </c>
      <c r="O105" s="15">
        <f t="shared" si="24"/>
        <v>2404</v>
      </c>
      <c r="P105" s="15">
        <v>1</v>
      </c>
      <c r="Q105" s="15">
        <f t="shared" si="25"/>
        <v>2404</v>
      </c>
      <c r="R105" s="15"/>
      <c r="S105" s="15">
        <f t="shared" si="26"/>
        <v>0</v>
      </c>
      <c r="T105" s="15"/>
      <c r="U105" s="15">
        <f t="shared" si="27"/>
        <v>0</v>
      </c>
      <c r="V105" s="15">
        <f t="shared" si="19"/>
        <v>7212</v>
      </c>
      <c r="W105" s="17"/>
      <c r="X105" s="17"/>
      <c r="Y105" s="18">
        <v>9.4E-2</v>
      </c>
      <c r="Z105" s="1">
        <f t="shared" si="28"/>
        <v>96.16</v>
      </c>
      <c r="AA105" s="21">
        <v>1</v>
      </c>
      <c r="AB105" s="1">
        <f>AA105*$AD$39</f>
        <v>2404</v>
      </c>
      <c r="AC105" s="21"/>
      <c r="AE105" s="19"/>
      <c r="AF105" s="20">
        <f>SUMIF('[1]G-Chart'!G:G,[1]Capacity!D105,'[1]G-Chart'!L:L)</f>
        <v>751</v>
      </c>
      <c r="AG105" s="2">
        <f t="shared" si="29"/>
        <v>0</v>
      </c>
      <c r="AH105" s="2">
        <f t="shared" si="30"/>
        <v>751</v>
      </c>
      <c r="AI105" s="2">
        <f t="shared" si="36"/>
        <v>751</v>
      </c>
      <c r="AJ105" s="1">
        <f t="shared" si="31"/>
        <v>751</v>
      </c>
      <c r="AK105" s="1">
        <f t="shared" si="32"/>
        <v>0</v>
      </c>
      <c r="AL105" s="1">
        <f t="shared" si="33"/>
        <v>0</v>
      </c>
      <c r="AM105" s="1">
        <f t="shared" si="37"/>
        <v>2253</v>
      </c>
    </row>
    <row r="106" spans="1:39" x14ac:dyDescent="0.3">
      <c r="A106" s="12">
        <v>104</v>
      </c>
      <c r="B106" s="12" t="s">
        <v>276</v>
      </c>
      <c r="C106" s="13" t="s">
        <v>310</v>
      </c>
      <c r="D106" s="44" t="s">
        <v>311</v>
      </c>
      <c r="E106" s="14" t="s">
        <v>312</v>
      </c>
      <c r="F106" s="15">
        <f t="shared" si="38"/>
        <v>2404</v>
      </c>
      <c r="G106" s="16">
        <f t="shared" si="34"/>
        <v>3</v>
      </c>
      <c r="H106" s="15"/>
      <c r="I106" s="15">
        <f t="shared" si="22"/>
        <v>0</v>
      </c>
      <c r="J106" s="15"/>
      <c r="K106" s="15">
        <f t="shared" si="35"/>
        <v>0</v>
      </c>
      <c r="L106" s="15">
        <v>1</v>
      </c>
      <c r="M106" s="15">
        <f t="shared" si="23"/>
        <v>2404</v>
      </c>
      <c r="N106" s="15">
        <v>1</v>
      </c>
      <c r="O106" s="15">
        <f t="shared" si="24"/>
        <v>2404</v>
      </c>
      <c r="P106" s="15">
        <v>1</v>
      </c>
      <c r="Q106" s="15">
        <f t="shared" si="25"/>
        <v>2404</v>
      </c>
      <c r="R106" s="15"/>
      <c r="S106" s="15">
        <f t="shared" si="26"/>
        <v>0</v>
      </c>
      <c r="T106" s="15"/>
      <c r="U106" s="15">
        <f t="shared" si="27"/>
        <v>0</v>
      </c>
      <c r="V106" s="15">
        <f t="shared" si="19"/>
        <v>7212</v>
      </c>
      <c r="W106" s="17"/>
      <c r="X106" s="17"/>
      <c r="Y106" s="18">
        <v>8.6999999999999994E-2</v>
      </c>
      <c r="Z106" s="1">
        <f t="shared" si="28"/>
        <v>96.16</v>
      </c>
      <c r="AA106" s="21">
        <v>1</v>
      </c>
      <c r="AB106" s="1">
        <f>AA106*$AD$39</f>
        <v>2404</v>
      </c>
      <c r="AC106" s="21"/>
      <c r="AE106" s="19"/>
      <c r="AF106" s="20">
        <f>SUMIF('[1]G-Chart'!G:G,[1]Capacity!D106,'[1]G-Chart'!L:L)</f>
        <v>0</v>
      </c>
      <c r="AG106" s="2">
        <f t="shared" si="29"/>
        <v>0</v>
      </c>
      <c r="AH106" s="2">
        <f t="shared" si="30"/>
        <v>0</v>
      </c>
      <c r="AI106" s="2">
        <f t="shared" si="36"/>
        <v>0</v>
      </c>
      <c r="AJ106" s="1">
        <f t="shared" si="31"/>
        <v>0</v>
      </c>
      <c r="AK106" s="1">
        <f t="shared" si="32"/>
        <v>0</v>
      </c>
      <c r="AL106" s="1">
        <f t="shared" si="33"/>
        <v>0</v>
      </c>
      <c r="AM106" s="1">
        <f t="shared" si="37"/>
        <v>0</v>
      </c>
    </row>
    <row r="107" spans="1:39" x14ac:dyDescent="0.3">
      <c r="A107" s="12">
        <v>105</v>
      </c>
      <c r="B107" s="12" t="s">
        <v>276</v>
      </c>
      <c r="C107" s="13" t="s">
        <v>313</v>
      </c>
      <c r="D107" s="45" t="s">
        <v>314</v>
      </c>
      <c r="E107" s="14" t="s">
        <v>315</v>
      </c>
      <c r="F107" s="15">
        <f t="shared" si="38"/>
        <v>2404</v>
      </c>
      <c r="G107" s="16">
        <f t="shared" si="34"/>
        <v>3</v>
      </c>
      <c r="H107" s="15"/>
      <c r="I107" s="15">
        <f t="shared" si="22"/>
        <v>0</v>
      </c>
      <c r="J107" s="15"/>
      <c r="K107" s="15">
        <f t="shared" si="35"/>
        <v>0</v>
      </c>
      <c r="L107" s="15">
        <v>1</v>
      </c>
      <c r="M107" s="15">
        <f t="shared" si="23"/>
        <v>2404</v>
      </c>
      <c r="N107" s="15">
        <v>1</v>
      </c>
      <c r="O107" s="15">
        <f t="shared" si="24"/>
        <v>2404</v>
      </c>
      <c r="P107" s="15">
        <v>1</v>
      </c>
      <c r="Q107" s="15">
        <f t="shared" si="25"/>
        <v>2404</v>
      </c>
      <c r="R107" s="15"/>
      <c r="S107" s="15">
        <f t="shared" si="26"/>
        <v>0</v>
      </c>
      <c r="T107" s="15"/>
      <c r="U107" s="15">
        <f t="shared" si="27"/>
        <v>0</v>
      </c>
      <c r="V107" s="15">
        <f t="shared" si="19"/>
        <v>7212</v>
      </c>
      <c r="W107" s="17"/>
      <c r="X107" s="17"/>
      <c r="Y107" s="18">
        <v>8.6999999999999994E-2</v>
      </c>
      <c r="Z107" s="1">
        <f t="shared" si="28"/>
        <v>96.16</v>
      </c>
      <c r="AA107" s="21">
        <v>1</v>
      </c>
      <c r="AB107" s="1">
        <f>AA107*$AD$39</f>
        <v>2404</v>
      </c>
      <c r="AC107" s="21"/>
      <c r="AE107" s="19"/>
      <c r="AF107" s="20">
        <f>SUMIF('[1]G-Chart'!G:G,[1]Capacity!D107,'[1]G-Chart'!L:L)</f>
        <v>0</v>
      </c>
      <c r="AG107" s="2">
        <f t="shared" si="29"/>
        <v>0</v>
      </c>
      <c r="AH107" s="2">
        <f t="shared" si="30"/>
        <v>0</v>
      </c>
      <c r="AI107" s="2">
        <f t="shared" si="36"/>
        <v>0</v>
      </c>
      <c r="AJ107" s="1">
        <f t="shared" si="31"/>
        <v>0</v>
      </c>
      <c r="AK107" s="1">
        <f t="shared" si="32"/>
        <v>0</v>
      </c>
      <c r="AL107" s="1">
        <f t="shared" si="33"/>
        <v>0</v>
      </c>
      <c r="AM107" s="1">
        <f t="shared" si="37"/>
        <v>0</v>
      </c>
    </row>
    <row r="108" spans="1:39" x14ac:dyDescent="0.3">
      <c r="A108" s="12">
        <v>106</v>
      </c>
      <c r="B108" s="43" t="s">
        <v>276</v>
      </c>
      <c r="C108" s="23" t="s">
        <v>316</v>
      </c>
      <c r="D108" s="37" t="s">
        <v>317</v>
      </c>
      <c r="E108" s="14" t="s">
        <v>318</v>
      </c>
      <c r="F108" s="15">
        <f t="shared" si="38"/>
        <v>0</v>
      </c>
      <c r="G108" s="16">
        <f t="shared" si="34"/>
        <v>2.5</v>
      </c>
      <c r="H108" s="15"/>
      <c r="I108" s="15">
        <f t="shared" si="22"/>
        <v>0</v>
      </c>
      <c r="J108" s="15">
        <v>1</v>
      </c>
      <c r="K108" s="15">
        <f t="shared" si="35"/>
        <v>0</v>
      </c>
      <c r="L108" s="15"/>
      <c r="M108" s="15">
        <f t="shared" si="23"/>
        <v>0</v>
      </c>
      <c r="N108" s="15"/>
      <c r="O108" s="15">
        <f t="shared" si="24"/>
        <v>0</v>
      </c>
      <c r="P108" s="15"/>
      <c r="Q108" s="15">
        <f t="shared" si="25"/>
        <v>0</v>
      </c>
      <c r="R108" s="15">
        <v>1</v>
      </c>
      <c r="S108" s="15">
        <f t="shared" si="26"/>
        <v>0</v>
      </c>
      <c r="T108" s="15">
        <v>0.5</v>
      </c>
      <c r="U108" s="15">
        <f t="shared" si="27"/>
        <v>0</v>
      </c>
      <c r="V108" s="15">
        <f t="shared" si="19"/>
        <v>0</v>
      </c>
      <c r="W108" s="17"/>
      <c r="X108" s="17"/>
      <c r="Y108" s="18">
        <v>0.14899999999999999</v>
      </c>
      <c r="Z108" s="1">
        <f t="shared" si="28"/>
        <v>0</v>
      </c>
      <c r="AA108" s="21">
        <v>1</v>
      </c>
      <c r="AB108" s="1">
        <v>0</v>
      </c>
      <c r="AC108" s="21"/>
      <c r="AE108" s="19"/>
      <c r="AF108" s="20">
        <f>SUMIF('[1]G-Chart'!G:G,[1]Capacity!D108,'[1]G-Chart'!L:L)</f>
        <v>195</v>
      </c>
      <c r="AG108" s="2">
        <v>0</v>
      </c>
      <c r="AH108" s="2">
        <f t="shared" si="30"/>
        <v>0</v>
      </c>
      <c r="AI108" s="2">
        <f t="shared" si="36"/>
        <v>0</v>
      </c>
      <c r="AJ108" s="1">
        <f t="shared" si="31"/>
        <v>0</v>
      </c>
      <c r="AK108" s="1">
        <v>0</v>
      </c>
      <c r="AL108" s="1">
        <v>0</v>
      </c>
      <c r="AM108" s="1">
        <v>0</v>
      </c>
    </row>
    <row r="109" spans="1:39" x14ac:dyDescent="0.3">
      <c r="A109" s="12">
        <v>107</v>
      </c>
      <c r="B109" s="43" t="s">
        <v>276</v>
      </c>
      <c r="C109" s="23" t="s">
        <v>319</v>
      </c>
      <c r="D109" s="37" t="s">
        <v>320</v>
      </c>
      <c r="E109" s="14" t="s">
        <v>321</v>
      </c>
      <c r="F109" s="15">
        <f t="shared" si="38"/>
        <v>0</v>
      </c>
      <c r="G109" s="16">
        <f t="shared" si="34"/>
        <v>2.5</v>
      </c>
      <c r="H109" s="15"/>
      <c r="I109" s="15">
        <f t="shared" si="22"/>
        <v>0</v>
      </c>
      <c r="J109" s="15">
        <v>1</v>
      </c>
      <c r="K109" s="15">
        <f t="shared" si="35"/>
        <v>0</v>
      </c>
      <c r="L109" s="15"/>
      <c r="M109" s="15">
        <f t="shared" si="23"/>
        <v>0</v>
      </c>
      <c r="N109" s="15"/>
      <c r="O109" s="15">
        <f t="shared" si="24"/>
        <v>0</v>
      </c>
      <c r="P109" s="15"/>
      <c r="Q109" s="15">
        <f t="shared" si="25"/>
        <v>0</v>
      </c>
      <c r="R109" s="15">
        <v>1</v>
      </c>
      <c r="S109" s="15">
        <f t="shared" si="26"/>
        <v>0</v>
      </c>
      <c r="T109" s="15">
        <v>0.5</v>
      </c>
      <c r="U109" s="15">
        <f t="shared" si="27"/>
        <v>0</v>
      </c>
      <c r="V109" s="15">
        <f t="shared" si="19"/>
        <v>0</v>
      </c>
      <c r="W109" s="17"/>
      <c r="X109" s="17"/>
      <c r="Y109" s="18">
        <v>0.14899999999999999</v>
      </c>
      <c r="Z109" s="1">
        <f t="shared" si="28"/>
        <v>0</v>
      </c>
      <c r="AA109" s="21">
        <v>1</v>
      </c>
      <c r="AB109" s="1">
        <v>0</v>
      </c>
      <c r="AC109" s="21"/>
      <c r="AE109" s="19"/>
      <c r="AF109" s="20">
        <f>SUMIF('[1]G-Chart'!G:G,[1]Capacity!D109,'[1]G-Chart'!L:L)</f>
        <v>0</v>
      </c>
      <c r="AG109" s="2">
        <f t="shared" si="29"/>
        <v>0</v>
      </c>
      <c r="AH109" s="2">
        <f t="shared" si="30"/>
        <v>0</v>
      </c>
      <c r="AI109" s="2">
        <f t="shared" si="36"/>
        <v>0</v>
      </c>
      <c r="AJ109" s="1">
        <f t="shared" si="31"/>
        <v>0</v>
      </c>
      <c r="AK109" s="1">
        <f t="shared" si="32"/>
        <v>0</v>
      </c>
      <c r="AL109" s="1">
        <f t="shared" si="33"/>
        <v>0</v>
      </c>
      <c r="AM109" s="1">
        <f t="shared" si="37"/>
        <v>0</v>
      </c>
    </row>
    <row r="110" spans="1:39" x14ac:dyDescent="0.3">
      <c r="A110" s="12">
        <v>108</v>
      </c>
      <c r="B110" s="12" t="s">
        <v>322</v>
      </c>
      <c r="C110" s="13" t="s">
        <v>323</v>
      </c>
      <c r="D110" s="23" t="s">
        <v>324</v>
      </c>
      <c r="E110" s="14"/>
      <c r="F110" s="15">
        <v>0</v>
      </c>
      <c r="G110" s="16">
        <f t="shared" si="34"/>
        <v>0</v>
      </c>
      <c r="H110" s="15"/>
      <c r="I110" s="15">
        <f t="shared" si="22"/>
        <v>0</v>
      </c>
      <c r="J110" s="15"/>
      <c r="K110" s="15">
        <f t="shared" si="35"/>
        <v>0</v>
      </c>
      <c r="L110" s="15"/>
      <c r="M110" s="15">
        <f t="shared" si="23"/>
        <v>0</v>
      </c>
      <c r="N110" s="15"/>
      <c r="O110" s="15">
        <f t="shared" si="24"/>
        <v>0</v>
      </c>
      <c r="P110" s="15"/>
      <c r="Q110" s="15">
        <f t="shared" si="25"/>
        <v>0</v>
      </c>
      <c r="R110" s="15"/>
      <c r="S110" s="15">
        <f t="shared" si="26"/>
        <v>0</v>
      </c>
      <c r="T110" s="15"/>
      <c r="U110" s="15">
        <f t="shared" si="27"/>
        <v>0</v>
      </c>
      <c r="V110" s="15">
        <f t="shared" si="19"/>
        <v>0</v>
      </c>
      <c r="W110" s="17"/>
      <c r="X110" s="17"/>
      <c r="Y110" s="18"/>
      <c r="Z110" s="1">
        <f t="shared" si="28"/>
        <v>0</v>
      </c>
      <c r="AA110" s="21"/>
      <c r="AC110" s="21"/>
      <c r="AE110" s="19"/>
      <c r="AF110" s="20">
        <f>SUMIF('[1]G-Chart'!G:G,[1]Capacity!D110,'[1]G-Chart'!L:L)</f>
        <v>0</v>
      </c>
      <c r="AG110" s="2">
        <f t="shared" si="29"/>
        <v>0</v>
      </c>
      <c r="AH110" s="2">
        <f t="shared" si="30"/>
        <v>0</v>
      </c>
      <c r="AI110" s="2">
        <f t="shared" si="36"/>
        <v>0</v>
      </c>
      <c r="AJ110" s="1">
        <f t="shared" si="31"/>
        <v>0</v>
      </c>
      <c r="AK110" s="1">
        <f t="shared" si="32"/>
        <v>0</v>
      </c>
      <c r="AL110" s="1">
        <f t="shared" si="33"/>
        <v>0</v>
      </c>
      <c r="AM110" s="1">
        <f t="shared" si="37"/>
        <v>0</v>
      </c>
    </row>
    <row r="111" spans="1:39" x14ac:dyDescent="0.3">
      <c r="A111" s="12">
        <v>109</v>
      </c>
      <c r="B111" s="12" t="s">
        <v>26</v>
      </c>
      <c r="C111" s="13" t="s">
        <v>325</v>
      </c>
      <c r="D111" s="13" t="s">
        <v>325</v>
      </c>
      <c r="E111" s="14" t="s">
        <v>326</v>
      </c>
      <c r="F111" s="15">
        <v>0</v>
      </c>
      <c r="G111" s="16">
        <f t="shared" si="34"/>
        <v>2</v>
      </c>
      <c r="H111" s="15"/>
      <c r="I111" s="15">
        <f t="shared" si="22"/>
        <v>0</v>
      </c>
      <c r="J111" s="15"/>
      <c r="K111" s="15">
        <f t="shared" si="35"/>
        <v>0</v>
      </c>
      <c r="L111" s="15"/>
      <c r="M111" s="15">
        <f t="shared" si="23"/>
        <v>0</v>
      </c>
      <c r="N111" s="15"/>
      <c r="O111" s="15">
        <f t="shared" si="24"/>
        <v>0</v>
      </c>
      <c r="P111" s="15"/>
      <c r="Q111" s="15">
        <f t="shared" si="25"/>
        <v>0</v>
      </c>
      <c r="R111" s="15">
        <v>1</v>
      </c>
      <c r="S111" s="15">
        <f t="shared" si="26"/>
        <v>0</v>
      </c>
      <c r="T111" s="15">
        <v>1</v>
      </c>
      <c r="U111" s="15">
        <f t="shared" si="27"/>
        <v>0</v>
      </c>
      <c r="V111" s="15">
        <f t="shared" si="19"/>
        <v>0</v>
      </c>
      <c r="W111" s="17"/>
      <c r="X111" s="17"/>
      <c r="Y111" s="18">
        <v>2.5999999999999999E-2</v>
      </c>
      <c r="Z111" s="1">
        <f t="shared" si="28"/>
        <v>0</v>
      </c>
      <c r="AA111" s="21"/>
      <c r="AC111" s="21"/>
      <c r="AE111" s="19"/>
      <c r="AF111" s="20">
        <f>SUMIF('[1]G-Chart'!G:G,[1]Capacity!D111,'[1]G-Chart'!L:L)</f>
        <v>125</v>
      </c>
      <c r="AG111" s="2">
        <f t="shared" si="29"/>
        <v>0</v>
      </c>
      <c r="AH111" s="2">
        <f t="shared" si="30"/>
        <v>0</v>
      </c>
      <c r="AI111" s="2">
        <f t="shared" si="36"/>
        <v>0</v>
      </c>
      <c r="AJ111" s="1">
        <f t="shared" si="31"/>
        <v>0</v>
      </c>
      <c r="AK111" s="1">
        <f t="shared" si="32"/>
        <v>125</v>
      </c>
      <c r="AL111" s="1">
        <f t="shared" si="33"/>
        <v>125</v>
      </c>
      <c r="AM111" s="1">
        <f t="shared" si="37"/>
        <v>250</v>
      </c>
    </row>
    <row r="112" spans="1:39" x14ac:dyDescent="0.3">
      <c r="A112" s="12">
        <v>110</v>
      </c>
      <c r="B112" s="12" t="s">
        <v>26</v>
      </c>
      <c r="C112" s="13" t="s">
        <v>327</v>
      </c>
      <c r="D112" s="13" t="s">
        <v>328</v>
      </c>
      <c r="E112" s="14" t="s">
        <v>329</v>
      </c>
      <c r="F112" s="15">
        <f>AB112</f>
        <v>0</v>
      </c>
      <c r="G112" s="16">
        <f t="shared" si="34"/>
        <v>2</v>
      </c>
      <c r="H112" s="15"/>
      <c r="I112" s="15">
        <f t="shared" si="22"/>
        <v>0</v>
      </c>
      <c r="J112" s="15"/>
      <c r="K112" s="15">
        <f t="shared" si="35"/>
        <v>0</v>
      </c>
      <c r="L112" s="15"/>
      <c r="M112" s="15">
        <f t="shared" si="23"/>
        <v>0</v>
      </c>
      <c r="N112" s="15"/>
      <c r="O112" s="15">
        <f t="shared" si="24"/>
        <v>0</v>
      </c>
      <c r="P112" s="15">
        <v>1</v>
      </c>
      <c r="Q112" s="15">
        <f t="shared" si="25"/>
        <v>0</v>
      </c>
      <c r="R112" s="15">
        <v>1</v>
      </c>
      <c r="S112" s="15">
        <f t="shared" si="26"/>
        <v>0</v>
      </c>
      <c r="T112" s="15"/>
      <c r="U112" s="15">
        <f t="shared" si="27"/>
        <v>0</v>
      </c>
      <c r="V112" s="15">
        <f t="shared" si="19"/>
        <v>0</v>
      </c>
      <c r="W112" s="17"/>
      <c r="X112" s="17"/>
      <c r="Y112" s="18">
        <v>4.4999999999999998E-2</v>
      </c>
      <c r="Z112" s="1">
        <f t="shared" si="28"/>
        <v>0</v>
      </c>
      <c r="AA112" s="21"/>
      <c r="AC112" s="21"/>
      <c r="AE112" s="19"/>
      <c r="AF112" s="20">
        <f>SUMIF('[1]G-Chart'!G:G,[1]Capacity!D112,'[1]G-Chart'!L:L)</f>
        <v>1234</v>
      </c>
      <c r="AG112" s="2">
        <f t="shared" si="29"/>
        <v>0</v>
      </c>
      <c r="AH112" s="2">
        <f t="shared" si="30"/>
        <v>0</v>
      </c>
      <c r="AI112" s="2">
        <f t="shared" si="36"/>
        <v>0</v>
      </c>
      <c r="AJ112" s="1">
        <f t="shared" si="31"/>
        <v>1234</v>
      </c>
      <c r="AK112" s="1">
        <f t="shared" si="32"/>
        <v>1234</v>
      </c>
      <c r="AL112" s="1">
        <f t="shared" si="33"/>
        <v>0</v>
      </c>
      <c r="AM112" s="1">
        <f t="shared" si="37"/>
        <v>2468</v>
      </c>
    </row>
    <row r="113" spans="1:39" x14ac:dyDescent="0.3">
      <c r="A113" s="12">
        <v>111</v>
      </c>
      <c r="B113" s="12" t="s">
        <v>26</v>
      </c>
      <c r="C113" s="13" t="s">
        <v>330</v>
      </c>
      <c r="D113" s="13" t="s">
        <v>330</v>
      </c>
      <c r="E113" s="14" t="s">
        <v>331</v>
      </c>
      <c r="F113" s="15">
        <f>AB113</f>
        <v>0</v>
      </c>
      <c r="G113" s="16">
        <f t="shared" si="34"/>
        <v>3</v>
      </c>
      <c r="H113" s="15"/>
      <c r="I113" s="15">
        <f t="shared" si="22"/>
        <v>0</v>
      </c>
      <c r="J113" s="15">
        <v>1.5</v>
      </c>
      <c r="K113" s="15">
        <f t="shared" si="35"/>
        <v>0</v>
      </c>
      <c r="L113" s="15"/>
      <c r="M113" s="15">
        <f t="shared" si="23"/>
        <v>0</v>
      </c>
      <c r="N113" s="15">
        <v>0.5</v>
      </c>
      <c r="O113" s="15">
        <f t="shared" si="24"/>
        <v>0</v>
      </c>
      <c r="P113" s="15">
        <v>1</v>
      </c>
      <c r="Q113" s="15">
        <f t="shared" si="25"/>
        <v>0</v>
      </c>
      <c r="R113" s="15"/>
      <c r="S113" s="15">
        <f t="shared" si="26"/>
        <v>0</v>
      </c>
      <c r="T113" s="15"/>
      <c r="U113" s="15">
        <f t="shared" si="27"/>
        <v>0</v>
      </c>
      <c r="V113" s="15">
        <f t="shared" si="19"/>
        <v>0</v>
      </c>
      <c r="W113" s="17"/>
      <c r="X113" s="17"/>
      <c r="Y113" s="18">
        <v>0.187</v>
      </c>
      <c r="Z113" s="1">
        <f t="shared" si="28"/>
        <v>0</v>
      </c>
      <c r="AA113" s="21"/>
      <c r="AC113" s="21"/>
      <c r="AE113" s="19"/>
      <c r="AF113" s="20">
        <f>SUMIF('[1]G-Chart'!G:G,[1]Capacity!D113,'[1]G-Chart'!L:L)</f>
        <v>104</v>
      </c>
      <c r="AG113" s="2">
        <f t="shared" si="29"/>
        <v>156</v>
      </c>
      <c r="AH113" s="2">
        <f t="shared" si="30"/>
        <v>0</v>
      </c>
      <c r="AI113" s="2">
        <f t="shared" si="36"/>
        <v>52</v>
      </c>
      <c r="AJ113" s="1">
        <f t="shared" si="31"/>
        <v>104</v>
      </c>
      <c r="AK113" s="1">
        <f t="shared" si="32"/>
        <v>0</v>
      </c>
      <c r="AL113" s="1">
        <f t="shared" si="33"/>
        <v>0</v>
      </c>
      <c r="AM113" s="1">
        <f t="shared" si="37"/>
        <v>312</v>
      </c>
    </row>
    <row r="114" spans="1:39" x14ac:dyDescent="0.3">
      <c r="A114" s="12">
        <v>112</v>
      </c>
      <c r="B114" s="12" t="s">
        <v>26</v>
      </c>
      <c r="C114" s="13" t="s">
        <v>332</v>
      </c>
      <c r="D114" s="13" t="s">
        <v>332</v>
      </c>
      <c r="E114" s="14" t="s">
        <v>333</v>
      </c>
      <c r="F114" s="15">
        <f>AB114</f>
        <v>0</v>
      </c>
      <c r="G114" s="16">
        <f t="shared" si="34"/>
        <v>3</v>
      </c>
      <c r="H114" s="15"/>
      <c r="I114" s="15">
        <f t="shared" si="22"/>
        <v>0</v>
      </c>
      <c r="J114" s="15">
        <v>1.5</v>
      </c>
      <c r="K114" s="15">
        <f t="shared" si="35"/>
        <v>0</v>
      </c>
      <c r="L114" s="15"/>
      <c r="M114" s="15">
        <f t="shared" si="23"/>
        <v>0</v>
      </c>
      <c r="N114" s="15">
        <v>0.5</v>
      </c>
      <c r="O114" s="15">
        <f t="shared" si="24"/>
        <v>0</v>
      </c>
      <c r="P114" s="15">
        <v>1</v>
      </c>
      <c r="Q114" s="15">
        <f t="shared" si="25"/>
        <v>0</v>
      </c>
      <c r="R114" s="15"/>
      <c r="S114" s="15">
        <f t="shared" si="26"/>
        <v>0</v>
      </c>
      <c r="T114" s="15"/>
      <c r="U114" s="15">
        <f t="shared" si="27"/>
        <v>0</v>
      </c>
      <c r="V114" s="15">
        <f t="shared" si="19"/>
        <v>0</v>
      </c>
      <c r="W114" s="17"/>
      <c r="X114" s="17"/>
      <c r="Y114" s="18">
        <v>0.17599999999999999</v>
      </c>
      <c r="Z114" s="1">
        <f t="shared" si="28"/>
        <v>0</v>
      </c>
      <c r="AA114" s="21"/>
      <c r="AC114" s="21"/>
      <c r="AE114" s="19"/>
      <c r="AF114" s="20">
        <f>SUMIF('[1]G-Chart'!G:G,[1]Capacity!D114,'[1]G-Chart'!L:L)</f>
        <v>42</v>
      </c>
      <c r="AG114" s="2">
        <f t="shared" si="29"/>
        <v>63</v>
      </c>
      <c r="AH114" s="2">
        <f t="shared" si="30"/>
        <v>0</v>
      </c>
      <c r="AI114" s="2">
        <f t="shared" si="36"/>
        <v>21</v>
      </c>
      <c r="AJ114" s="1">
        <f t="shared" si="31"/>
        <v>42</v>
      </c>
      <c r="AK114" s="1">
        <f t="shared" si="32"/>
        <v>0</v>
      </c>
      <c r="AL114" s="1">
        <f t="shared" si="33"/>
        <v>0</v>
      </c>
      <c r="AM114" s="1">
        <f t="shared" si="37"/>
        <v>126</v>
      </c>
    </row>
    <row r="115" spans="1:39" x14ac:dyDescent="0.3">
      <c r="A115" s="12">
        <v>113</v>
      </c>
      <c r="B115" s="12" t="s">
        <v>26</v>
      </c>
      <c r="C115" s="13" t="s">
        <v>334</v>
      </c>
      <c r="D115" s="13" t="s">
        <v>334</v>
      </c>
      <c r="E115" s="14" t="s">
        <v>335</v>
      </c>
      <c r="F115" s="15">
        <v>0</v>
      </c>
      <c r="G115" s="16">
        <f t="shared" si="34"/>
        <v>2</v>
      </c>
      <c r="H115" s="15"/>
      <c r="I115" s="15">
        <f t="shared" si="22"/>
        <v>0</v>
      </c>
      <c r="J115" s="15">
        <v>2</v>
      </c>
      <c r="K115" s="15">
        <f t="shared" si="35"/>
        <v>0</v>
      </c>
      <c r="L115" s="15"/>
      <c r="M115" s="15">
        <f t="shared" si="23"/>
        <v>0</v>
      </c>
      <c r="N115" s="15"/>
      <c r="O115" s="15">
        <f t="shared" si="24"/>
        <v>0</v>
      </c>
      <c r="P115" s="15"/>
      <c r="Q115" s="15">
        <f t="shared" si="25"/>
        <v>0</v>
      </c>
      <c r="R115" s="15"/>
      <c r="S115" s="15">
        <f t="shared" si="26"/>
        <v>0</v>
      </c>
      <c r="T115" s="15"/>
      <c r="U115" s="15">
        <f t="shared" si="27"/>
        <v>0</v>
      </c>
      <c r="V115" s="15">
        <f t="shared" si="19"/>
        <v>0</v>
      </c>
      <c r="W115" s="17"/>
      <c r="X115" s="17"/>
      <c r="Y115" s="18">
        <v>0.16800000000000001</v>
      </c>
      <c r="Z115" s="1">
        <f t="shared" si="28"/>
        <v>0</v>
      </c>
      <c r="AA115" s="21"/>
      <c r="AC115" s="21"/>
      <c r="AE115" s="19"/>
      <c r="AF115" s="20">
        <f>SUMIF('[1]G-Chart'!G:G,[1]Capacity!D115,'[1]G-Chart'!L:L)</f>
        <v>0</v>
      </c>
      <c r="AG115" s="2">
        <f t="shared" si="29"/>
        <v>0</v>
      </c>
      <c r="AH115" s="2">
        <f t="shared" si="30"/>
        <v>0</v>
      </c>
      <c r="AI115" s="2">
        <f t="shared" si="36"/>
        <v>0</v>
      </c>
      <c r="AJ115" s="1">
        <f t="shared" si="31"/>
        <v>0</v>
      </c>
      <c r="AK115" s="1">
        <f t="shared" si="32"/>
        <v>0</v>
      </c>
      <c r="AL115" s="1">
        <f t="shared" si="33"/>
        <v>0</v>
      </c>
      <c r="AM115" s="1">
        <f t="shared" si="37"/>
        <v>0</v>
      </c>
    </row>
    <row r="116" spans="1:39" x14ac:dyDescent="0.3">
      <c r="A116" s="12">
        <v>114</v>
      </c>
      <c r="B116" s="12" t="s">
        <v>26</v>
      </c>
      <c r="C116" s="13" t="s">
        <v>336</v>
      </c>
      <c r="D116" s="23" t="s">
        <v>336</v>
      </c>
      <c r="E116" s="14" t="s">
        <v>337</v>
      </c>
      <c r="F116" s="15">
        <v>0</v>
      </c>
      <c r="G116" s="16">
        <f t="shared" si="34"/>
        <v>2</v>
      </c>
      <c r="H116" s="15"/>
      <c r="I116" s="15">
        <f t="shared" si="22"/>
        <v>0</v>
      </c>
      <c r="J116" s="15">
        <v>2</v>
      </c>
      <c r="K116" s="15">
        <f t="shared" si="35"/>
        <v>0</v>
      </c>
      <c r="L116" s="15"/>
      <c r="M116" s="15">
        <f t="shared" si="23"/>
        <v>0</v>
      </c>
      <c r="N116" s="15"/>
      <c r="O116" s="15">
        <f t="shared" si="24"/>
        <v>0</v>
      </c>
      <c r="P116" s="15"/>
      <c r="Q116" s="15">
        <f t="shared" si="25"/>
        <v>0</v>
      </c>
      <c r="R116" s="15"/>
      <c r="S116" s="15">
        <f t="shared" si="26"/>
        <v>0</v>
      </c>
      <c r="T116" s="15"/>
      <c r="U116" s="15">
        <f t="shared" si="27"/>
        <v>0</v>
      </c>
      <c r="V116" s="15">
        <f t="shared" si="19"/>
        <v>0</v>
      </c>
      <c r="W116" s="17"/>
      <c r="X116" s="17"/>
      <c r="Y116" s="18">
        <v>0.16800000000000001</v>
      </c>
      <c r="Z116" s="1">
        <f t="shared" si="28"/>
        <v>0</v>
      </c>
      <c r="AA116" s="21"/>
      <c r="AC116" s="21"/>
      <c r="AE116" s="19"/>
      <c r="AF116" s="20">
        <f>SUMIF('[1]G-Chart'!G:G,[1]Capacity!D116,'[1]G-Chart'!L:L)</f>
        <v>0</v>
      </c>
      <c r="AG116" s="2">
        <f t="shared" si="29"/>
        <v>0</v>
      </c>
      <c r="AH116" s="2">
        <f t="shared" si="30"/>
        <v>0</v>
      </c>
      <c r="AI116" s="2">
        <f t="shared" si="36"/>
        <v>0</v>
      </c>
      <c r="AJ116" s="1">
        <f t="shared" si="31"/>
        <v>0</v>
      </c>
      <c r="AK116" s="1">
        <f t="shared" si="32"/>
        <v>0</v>
      </c>
      <c r="AL116" s="1">
        <f t="shared" si="33"/>
        <v>0</v>
      </c>
      <c r="AM116" s="1">
        <f t="shared" si="37"/>
        <v>0</v>
      </c>
    </row>
    <row r="117" spans="1:39" x14ac:dyDescent="0.3">
      <c r="A117" s="12">
        <v>115</v>
      </c>
      <c r="B117" s="12" t="s">
        <v>26</v>
      </c>
      <c r="C117" s="13" t="s">
        <v>338</v>
      </c>
      <c r="D117" s="13" t="s">
        <v>338</v>
      </c>
      <c r="E117" s="14" t="s">
        <v>339</v>
      </c>
      <c r="F117" s="15">
        <v>0</v>
      </c>
      <c r="G117" s="16">
        <f t="shared" si="34"/>
        <v>2</v>
      </c>
      <c r="H117" s="15"/>
      <c r="I117" s="15">
        <f t="shared" si="22"/>
        <v>0</v>
      </c>
      <c r="J117" s="15">
        <v>1</v>
      </c>
      <c r="K117" s="15">
        <f t="shared" si="35"/>
        <v>0</v>
      </c>
      <c r="L117" s="15"/>
      <c r="M117" s="15">
        <f t="shared" si="23"/>
        <v>0</v>
      </c>
      <c r="N117" s="15">
        <v>0.5</v>
      </c>
      <c r="O117" s="15">
        <f t="shared" si="24"/>
        <v>0</v>
      </c>
      <c r="P117" s="15">
        <v>0.5</v>
      </c>
      <c r="Q117" s="15">
        <f t="shared" si="25"/>
        <v>0</v>
      </c>
      <c r="R117" s="15"/>
      <c r="S117" s="15">
        <f t="shared" si="26"/>
        <v>0</v>
      </c>
      <c r="T117" s="15"/>
      <c r="U117" s="15">
        <f t="shared" si="27"/>
        <v>0</v>
      </c>
      <c r="V117" s="15">
        <f t="shared" ref="V117:V180" si="39">F117*G117</f>
        <v>0</v>
      </c>
      <c r="W117" s="17"/>
      <c r="X117" s="17"/>
      <c r="Y117" s="18">
        <v>9.7000000000000003E-2</v>
      </c>
      <c r="Z117" s="1">
        <f t="shared" si="28"/>
        <v>0</v>
      </c>
      <c r="AA117" s="21"/>
      <c r="AC117" s="21"/>
      <c r="AE117" s="19"/>
      <c r="AF117" s="20">
        <f>SUMIF('[1]G-Chart'!G:G,[1]Capacity!D117,'[1]G-Chart'!L:L)</f>
        <v>397</v>
      </c>
      <c r="AG117" s="2">
        <f t="shared" si="29"/>
        <v>397</v>
      </c>
      <c r="AH117" s="2">
        <f t="shared" si="30"/>
        <v>0</v>
      </c>
      <c r="AI117" s="2">
        <f t="shared" si="36"/>
        <v>198.5</v>
      </c>
      <c r="AJ117" s="1">
        <f t="shared" si="31"/>
        <v>198.5</v>
      </c>
      <c r="AK117" s="1">
        <f t="shared" si="32"/>
        <v>0</v>
      </c>
      <c r="AL117" s="1">
        <f t="shared" si="33"/>
        <v>0</v>
      </c>
      <c r="AM117" s="1">
        <f t="shared" si="37"/>
        <v>794</v>
      </c>
    </row>
    <row r="118" spans="1:39" x14ac:dyDescent="0.3">
      <c r="A118" s="12">
        <v>116</v>
      </c>
      <c r="B118" s="12" t="s">
        <v>26</v>
      </c>
      <c r="C118" s="13" t="s">
        <v>340</v>
      </c>
      <c r="D118" s="13" t="s">
        <v>340</v>
      </c>
      <c r="E118" s="14" t="s">
        <v>341</v>
      </c>
      <c r="F118" s="15">
        <v>0</v>
      </c>
      <c r="G118" s="16">
        <f t="shared" si="34"/>
        <v>2</v>
      </c>
      <c r="H118" s="15"/>
      <c r="I118" s="15">
        <f t="shared" si="22"/>
        <v>0</v>
      </c>
      <c r="J118" s="15">
        <v>1</v>
      </c>
      <c r="K118" s="15">
        <f t="shared" si="35"/>
        <v>0</v>
      </c>
      <c r="L118" s="15"/>
      <c r="M118" s="15">
        <f t="shared" si="23"/>
        <v>0</v>
      </c>
      <c r="N118" s="15">
        <v>0.5</v>
      </c>
      <c r="O118" s="15">
        <f t="shared" si="24"/>
        <v>0</v>
      </c>
      <c r="P118" s="15">
        <v>0.5</v>
      </c>
      <c r="Q118" s="15">
        <f t="shared" si="25"/>
        <v>0</v>
      </c>
      <c r="R118" s="15"/>
      <c r="S118" s="15">
        <f t="shared" si="26"/>
        <v>0</v>
      </c>
      <c r="T118" s="15"/>
      <c r="U118" s="15">
        <f t="shared" si="27"/>
        <v>0</v>
      </c>
      <c r="V118" s="15">
        <f t="shared" si="39"/>
        <v>0</v>
      </c>
      <c r="W118" s="17"/>
      <c r="X118" s="17"/>
      <c r="Y118" s="18">
        <v>9.2999999999999999E-2</v>
      </c>
      <c r="Z118" s="1">
        <f t="shared" si="28"/>
        <v>0</v>
      </c>
      <c r="AA118" s="21"/>
      <c r="AC118" s="21"/>
      <c r="AE118" s="19"/>
      <c r="AF118" s="20">
        <f>SUMIF('[1]G-Chart'!G:G,[1]Capacity!D118,'[1]G-Chart'!L:L)</f>
        <v>483</v>
      </c>
      <c r="AG118" s="2">
        <f t="shared" si="29"/>
        <v>483</v>
      </c>
      <c r="AH118" s="2">
        <f t="shared" si="30"/>
        <v>0</v>
      </c>
      <c r="AI118" s="2">
        <f t="shared" si="36"/>
        <v>241.5</v>
      </c>
      <c r="AJ118" s="1">
        <f t="shared" si="31"/>
        <v>241.5</v>
      </c>
      <c r="AK118" s="1">
        <f t="shared" si="32"/>
        <v>0</v>
      </c>
      <c r="AL118" s="1">
        <f t="shared" si="33"/>
        <v>0</v>
      </c>
      <c r="AM118" s="1">
        <f t="shared" si="37"/>
        <v>966</v>
      </c>
    </row>
    <row r="119" spans="1:39" x14ac:dyDescent="0.3">
      <c r="A119" s="12">
        <v>117</v>
      </c>
      <c r="B119" s="12" t="s">
        <v>26</v>
      </c>
      <c r="C119" s="13" t="s">
        <v>342</v>
      </c>
      <c r="D119" s="13" t="s">
        <v>343</v>
      </c>
      <c r="E119" s="14" t="s">
        <v>344</v>
      </c>
      <c r="F119" s="15">
        <v>0</v>
      </c>
      <c r="G119" s="16">
        <f t="shared" si="34"/>
        <v>2.5</v>
      </c>
      <c r="H119" s="15"/>
      <c r="I119" s="15">
        <f t="shared" si="22"/>
        <v>0</v>
      </c>
      <c r="J119" s="15"/>
      <c r="K119" s="15">
        <f t="shared" si="35"/>
        <v>0</v>
      </c>
      <c r="L119" s="15"/>
      <c r="M119" s="15">
        <f t="shared" si="23"/>
        <v>0</v>
      </c>
      <c r="N119" s="15">
        <v>1.5</v>
      </c>
      <c r="O119" s="15">
        <f t="shared" si="24"/>
        <v>0</v>
      </c>
      <c r="P119" s="15">
        <v>1</v>
      </c>
      <c r="Q119" s="15">
        <f t="shared" si="25"/>
        <v>0</v>
      </c>
      <c r="R119" s="15"/>
      <c r="S119" s="15">
        <f t="shared" si="26"/>
        <v>0</v>
      </c>
      <c r="T119" s="15"/>
      <c r="U119" s="15">
        <f t="shared" si="27"/>
        <v>0</v>
      </c>
      <c r="V119" s="15">
        <f t="shared" si="39"/>
        <v>0</v>
      </c>
      <c r="W119" s="17"/>
      <c r="X119" s="17"/>
      <c r="Y119" s="18">
        <v>0.35</v>
      </c>
      <c r="Z119" s="1">
        <f t="shared" si="28"/>
        <v>0</v>
      </c>
      <c r="AA119" s="21"/>
      <c r="AC119" s="21"/>
      <c r="AE119" s="19"/>
      <c r="AF119" s="20">
        <f>SUMIF('[1]G-Chart'!G:G,[1]Capacity!D119,'[1]G-Chart'!L:L)</f>
        <v>0</v>
      </c>
      <c r="AG119" s="2">
        <f t="shared" si="29"/>
        <v>0</v>
      </c>
      <c r="AH119" s="2">
        <f t="shared" si="30"/>
        <v>0</v>
      </c>
      <c r="AI119" s="2">
        <f t="shared" si="36"/>
        <v>0</v>
      </c>
      <c r="AJ119" s="1">
        <f t="shared" si="31"/>
        <v>0</v>
      </c>
      <c r="AK119" s="1">
        <f t="shared" si="32"/>
        <v>0</v>
      </c>
      <c r="AL119" s="1">
        <f t="shared" si="33"/>
        <v>0</v>
      </c>
      <c r="AM119" s="1">
        <f t="shared" si="37"/>
        <v>0</v>
      </c>
    </row>
    <row r="120" spans="1:39" x14ac:dyDescent="0.3">
      <c r="A120" s="12">
        <v>118</v>
      </c>
      <c r="B120" s="12" t="s">
        <v>26</v>
      </c>
      <c r="C120" s="13" t="s">
        <v>345</v>
      </c>
      <c r="D120" s="13" t="s">
        <v>346</v>
      </c>
      <c r="E120" s="14" t="s">
        <v>347</v>
      </c>
      <c r="F120" s="15">
        <v>0</v>
      </c>
      <c r="G120" s="16">
        <f t="shared" si="34"/>
        <v>2.5</v>
      </c>
      <c r="H120" s="15"/>
      <c r="I120" s="15">
        <f t="shared" si="22"/>
        <v>0</v>
      </c>
      <c r="J120" s="15"/>
      <c r="K120" s="15">
        <f t="shared" si="35"/>
        <v>0</v>
      </c>
      <c r="L120" s="15"/>
      <c r="M120" s="15">
        <f t="shared" si="23"/>
        <v>0</v>
      </c>
      <c r="N120" s="15">
        <v>1.5</v>
      </c>
      <c r="O120" s="15">
        <f t="shared" si="24"/>
        <v>0</v>
      </c>
      <c r="P120" s="15">
        <v>1</v>
      </c>
      <c r="Q120" s="15">
        <f t="shared" si="25"/>
        <v>0</v>
      </c>
      <c r="R120" s="15"/>
      <c r="S120" s="15">
        <f t="shared" si="26"/>
        <v>0</v>
      </c>
      <c r="T120" s="15"/>
      <c r="U120" s="15">
        <f t="shared" si="27"/>
        <v>0</v>
      </c>
      <c r="V120" s="15">
        <f t="shared" si="39"/>
        <v>0</v>
      </c>
      <c r="W120" s="17"/>
      <c r="X120" s="17"/>
      <c r="Y120" s="18">
        <v>0.36799999999999999</v>
      </c>
      <c r="Z120" s="1">
        <f t="shared" si="28"/>
        <v>0</v>
      </c>
      <c r="AA120" s="21"/>
      <c r="AC120" s="21"/>
      <c r="AE120" s="19"/>
      <c r="AF120" s="20">
        <f>SUMIF('[1]G-Chart'!G:G,[1]Capacity!D120,'[1]G-Chart'!L:L)</f>
        <v>0</v>
      </c>
      <c r="AG120" s="2">
        <f t="shared" si="29"/>
        <v>0</v>
      </c>
      <c r="AH120" s="2">
        <f t="shared" si="30"/>
        <v>0</v>
      </c>
      <c r="AI120" s="2">
        <f t="shared" si="36"/>
        <v>0</v>
      </c>
      <c r="AJ120" s="1">
        <f t="shared" si="31"/>
        <v>0</v>
      </c>
      <c r="AK120" s="1">
        <f t="shared" si="32"/>
        <v>0</v>
      </c>
      <c r="AL120" s="1">
        <f t="shared" si="33"/>
        <v>0</v>
      </c>
      <c r="AM120" s="1">
        <f t="shared" si="37"/>
        <v>0</v>
      </c>
    </row>
    <row r="121" spans="1:39" x14ac:dyDescent="0.3">
      <c r="A121" s="12">
        <v>119</v>
      </c>
      <c r="B121" s="12" t="s">
        <v>26</v>
      </c>
      <c r="C121" s="13" t="s">
        <v>348</v>
      </c>
      <c r="D121" s="13" t="s">
        <v>349</v>
      </c>
      <c r="E121" s="14" t="s">
        <v>350</v>
      </c>
      <c r="F121" s="15">
        <f>AB121</f>
        <v>0</v>
      </c>
      <c r="G121" s="16">
        <f t="shared" si="34"/>
        <v>3</v>
      </c>
      <c r="H121" s="15"/>
      <c r="I121" s="15">
        <f t="shared" si="22"/>
        <v>0</v>
      </c>
      <c r="J121" s="15"/>
      <c r="K121" s="15">
        <f t="shared" si="35"/>
        <v>0</v>
      </c>
      <c r="L121" s="15"/>
      <c r="M121" s="15">
        <f t="shared" si="23"/>
        <v>0</v>
      </c>
      <c r="N121" s="15">
        <v>1</v>
      </c>
      <c r="O121" s="15">
        <f t="shared" si="24"/>
        <v>0</v>
      </c>
      <c r="P121" s="15">
        <v>2</v>
      </c>
      <c r="Q121" s="15">
        <f t="shared" si="25"/>
        <v>0</v>
      </c>
      <c r="R121" s="15"/>
      <c r="S121" s="15">
        <f t="shared" si="26"/>
        <v>0</v>
      </c>
      <c r="T121" s="15"/>
      <c r="U121" s="15">
        <f t="shared" si="27"/>
        <v>0</v>
      </c>
      <c r="V121" s="15">
        <f t="shared" si="39"/>
        <v>0</v>
      </c>
      <c r="W121" s="17"/>
      <c r="X121" s="17"/>
      <c r="Y121" s="18">
        <v>0.09</v>
      </c>
      <c r="Z121" s="1">
        <f t="shared" si="28"/>
        <v>0</v>
      </c>
      <c r="AA121" s="21"/>
      <c r="AC121" s="21"/>
      <c r="AE121" s="19"/>
      <c r="AF121" s="20">
        <f>SUMIF('[1]G-Chart'!G:G,[1]Capacity!D121,'[1]G-Chart'!L:L)</f>
        <v>0</v>
      </c>
      <c r="AG121" s="2">
        <f t="shared" si="29"/>
        <v>0</v>
      </c>
      <c r="AH121" s="2">
        <f t="shared" si="30"/>
        <v>0</v>
      </c>
      <c r="AI121" s="2">
        <f t="shared" si="36"/>
        <v>0</v>
      </c>
      <c r="AJ121" s="1">
        <f t="shared" si="31"/>
        <v>0</v>
      </c>
      <c r="AK121" s="1">
        <f t="shared" si="32"/>
        <v>0</v>
      </c>
      <c r="AL121" s="1">
        <f t="shared" si="33"/>
        <v>0</v>
      </c>
      <c r="AM121" s="1">
        <f t="shared" si="37"/>
        <v>0</v>
      </c>
    </row>
    <row r="122" spans="1:39" x14ac:dyDescent="0.3">
      <c r="A122" s="12">
        <v>120</v>
      </c>
      <c r="B122" s="12" t="s">
        <v>259</v>
      </c>
      <c r="C122" s="13" t="s">
        <v>351</v>
      </c>
      <c r="D122" s="13" t="s">
        <v>351</v>
      </c>
      <c r="E122" s="14" t="s">
        <v>352</v>
      </c>
      <c r="F122" s="15">
        <v>0</v>
      </c>
      <c r="G122" s="16">
        <f t="shared" si="34"/>
        <v>4</v>
      </c>
      <c r="H122" s="15"/>
      <c r="I122" s="15">
        <f t="shared" si="22"/>
        <v>0</v>
      </c>
      <c r="J122" s="15"/>
      <c r="K122" s="15">
        <f t="shared" si="35"/>
        <v>0</v>
      </c>
      <c r="L122" s="15"/>
      <c r="M122" s="15">
        <f t="shared" si="23"/>
        <v>0</v>
      </c>
      <c r="N122" s="15"/>
      <c r="O122" s="15">
        <f t="shared" si="24"/>
        <v>0</v>
      </c>
      <c r="P122" s="15"/>
      <c r="Q122" s="15">
        <f t="shared" si="25"/>
        <v>0</v>
      </c>
      <c r="R122" s="15">
        <v>2</v>
      </c>
      <c r="S122" s="15">
        <f t="shared" si="26"/>
        <v>0</v>
      </c>
      <c r="T122" s="15">
        <v>2</v>
      </c>
      <c r="U122" s="15">
        <f t="shared" si="27"/>
        <v>0</v>
      </c>
      <c r="V122" s="15">
        <f t="shared" si="39"/>
        <v>0</v>
      </c>
      <c r="W122" s="17"/>
      <c r="X122" s="17"/>
      <c r="Y122" s="18">
        <v>0.69899999999999995</v>
      </c>
      <c r="Z122" s="1">
        <f t="shared" si="28"/>
        <v>0</v>
      </c>
      <c r="AA122" s="21"/>
      <c r="AC122" s="21"/>
      <c r="AE122" s="19"/>
      <c r="AF122" s="20">
        <f>SUMIF('[1]G-Chart'!G:G,[1]Capacity!D122,'[1]G-Chart'!L:L)</f>
        <v>0</v>
      </c>
      <c r="AG122" s="2">
        <f t="shared" si="29"/>
        <v>0</v>
      </c>
      <c r="AH122" s="2">
        <f t="shared" si="30"/>
        <v>0</v>
      </c>
      <c r="AI122" s="2">
        <f t="shared" si="36"/>
        <v>0</v>
      </c>
      <c r="AJ122" s="1">
        <f t="shared" si="31"/>
        <v>0</v>
      </c>
      <c r="AK122" s="1">
        <f t="shared" si="32"/>
        <v>0</v>
      </c>
      <c r="AL122" s="1">
        <f t="shared" si="33"/>
        <v>0</v>
      </c>
      <c r="AM122" s="1">
        <f t="shared" si="37"/>
        <v>0</v>
      </c>
    </row>
    <row r="123" spans="1:39" x14ac:dyDescent="0.3">
      <c r="A123" s="12">
        <v>121</v>
      </c>
      <c r="B123" s="12" t="s">
        <v>236</v>
      </c>
      <c r="C123" s="13" t="s">
        <v>353</v>
      </c>
      <c r="D123" s="13" t="s">
        <v>354</v>
      </c>
      <c r="E123" s="14" t="s">
        <v>355</v>
      </c>
      <c r="F123" s="15">
        <v>0</v>
      </c>
      <c r="G123" s="16">
        <f t="shared" si="34"/>
        <v>0</v>
      </c>
      <c r="H123" s="15"/>
      <c r="I123" s="15">
        <f t="shared" si="22"/>
        <v>0</v>
      </c>
      <c r="J123" s="15"/>
      <c r="K123" s="15">
        <f t="shared" si="35"/>
        <v>0</v>
      </c>
      <c r="L123" s="15"/>
      <c r="M123" s="15">
        <f t="shared" si="23"/>
        <v>0</v>
      </c>
      <c r="N123" s="15"/>
      <c r="O123" s="15">
        <f t="shared" si="24"/>
        <v>0</v>
      </c>
      <c r="P123" s="15"/>
      <c r="Q123" s="15">
        <f t="shared" si="25"/>
        <v>0</v>
      </c>
      <c r="R123" s="15"/>
      <c r="S123" s="15">
        <f t="shared" si="26"/>
        <v>0</v>
      </c>
      <c r="T123" s="15"/>
      <c r="U123" s="15">
        <f t="shared" si="27"/>
        <v>0</v>
      </c>
      <c r="V123" s="15">
        <f t="shared" si="39"/>
        <v>0</v>
      </c>
      <c r="W123" s="17"/>
      <c r="X123" s="17"/>
      <c r="Y123" s="18"/>
      <c r="Z123" s="1">
        <f t="shared" si="28"/>
        <v>0</v>
      </c>
      <c r="AA123" s="21"/>
      <c r="AC123" s="21"/>
      <c r="AE123" s="19"/>
      <c r="AF123" s="20">
        <f>SUMIF('[1]G-Chart'!G:G,[1]Capacity!D123,'[1]G-Chart'!L:L)</f>
        <v>0</v>
      </c>
      <c r="AG123" s="2">
        <f t="shared" si="29"/>
        <v>0</v>
      </c>
      <c r="AH123" s="2">
        <f t="shared" si="30"/>
        <v>0</v>
      </c>
      <c r="AI123" s="2">
        <f t="shared" si="36"/>
        <v>0</v>
      </c>
      <c r="AJ123" s="1">
        <f t="shared" si="31"/>
        <v>0</v>
      </c>
      <c r="AK123" s="1">
        <f t="shared" si="32"/>
        <v>0</v>
      </c>
      <c r="AL123" s="1">
        <f t="shared" si="33"/>
        <v>0</v>
      </c>
      <c r="AM123" s="1">
        <f t="shared" si="37"/>
        <v>0</v>
      </c>
    </row>
    <row r="124" spans="1:39" x14ac:dyDescent="0.3">
      <c r="A124" s="12">
        <v>122</v>
      </c>
      <c r="B124" s="12" t="s">
        <v>236</v>
      </c>
      <c r="C124" s="13" t="s">
        <v>356</v>
      </c>
      <c r="D124" s="13" t="s">
        <v>357</v>
      </c>
      <c r="E124" s="14" t="s">
        <v>358</v>
      </c>
      <c r="F124" s="15">
        <v>0</v>
      </c>
      <c r="G124" s="16">
        <f t="shared" si="34"/>
        <v>0</v>
      </c>
      <c r="H124" s="15"/>
      <c r="I124" s="15">
        <f t="shared" si="22"/>
        <v>0</v>
      </c>
      <c r="J124" s="15"/>
      <c r="K124" s="15">
        <f t="shared" si="35"/>
        <v>0</v>
      </c>
      <c r="L124" s="15"/>
      <c r="M124" s="15">
        <f t="shared" si="23"/>
        <v>0</v>
      </c>
      <c r="N124" s="15"/>
      <c r="O124" s="15">
        <f t="shared" si="24"/>
        <v>0</v>
      </c>
      <c r="P124" s="15"/>
      <c r="Q124" s="15">
        <f t="shared" si="25"/>
        <v>0</v>
      </c>
      <c r="R124" s="15"/>
      <c r="S124" s="15">
        <f t="shared" si="26"/>
        <v>0</v>
      </c>
      <c r="T124" s="15"/>
      <c r="U124" s="15">
        <f t="shared" si="27"/>
        <v>0</v>
      </c>
      <c r="V124" s="15">
        <f t="shared" si="39"/>
        <v>0</v>
      </c>
      <c r="W124" s="17"/>
      <c r="X124" s="17"/>
      <c r="Y124" s="18"/>
      <c r="Z124" s="1">
        <f t="shared" si="28"/>
        <v>0</v>
      </c>
      <c r="AA124" s="21"/>
      <c r="AC124" s="21"/>
      <c r="AE124" s="19"/>
      <c r="AF124" s="20">
        <f>SUMIF('[1]G-Chart'!G:G,[1]Capacity!D124,'[1]G-Chart'!L:L)</f>
        <v>0</v>
      </c>
      <c r="AG124" s="2">
        <f t="shared" si="29"/>
        <v>0</v>
      </c>
      <c r="AH124" s="2">
        <f t="shared" si="30"/>
        <v>0</v>
      </c>
      <c r="AI124" s="2">
        <f t="shared" si="36"/>
        <v>0</v>
      </c>
      <c r="AJ124" s="1">
        <f t="shared" si="31"/>
        <v>0</v>
      </c>
      <c r="AK124" s="1">
        <f t="shared" si="32"/>
        <v>0</v>
      </c>
      <c r="AL124" s="1">
        <f t="shared" si="33"/>
        <v>0</v>
      </c>
      <c r="AM124" s="1">
        <f t="shared" si="37"/>
        <v>0</v>
      </c>
    </row>
    <row r="125" spans="1:39" x14ac:dyDescent="0.3">
      <c r="A125" s="12">
        <v>123</v>
      </c>
      <c r="B125" s="12" t="s">
        <v>236</v>
      </c>
      <c r="C125" s="13" t="s">
        <v>359</v>
      </c>
      <c r="D125" s="13" t="s">
        <v>359</v>
      </c>
      <c r="E125" s="14" t="s">
        <v>360</v>
      </c>
      <c r="F125" s="15">
        <v>0</v>
      </c>
      <c r="G125" s="16">
        <f t="shared" si="34"/>
        <v>1.5</v>
      </c>
      <c r="H125" s="15"/>
      <c r="I125" s="15">
        <f t="shared" si="22"/>
        <v>0</v>
      </c>
      <c r="J125" s="15"/>
      <c r="K125" s="15">
        <f t="shared" si="35"/>
        <v>0</v>
      </c>
      <c r="L125" s="15"/>
      <c r="M125" s="15">
        <f t="shared" si="23"/>
        <v>0</v>
      </c>
      <c r="N125" s="15"/>
      <c r="O125" s="15">
        <f t="shared" si="24"/>
        <v>0</v>
      </c>
      <c r="P125" s="15">
        <v>1</v>
      </c>
      <c r="Q125" s="15">
        <f t="shared" si="25"/>
        <v>0</v>
      </c>
      <c r="R125" s="15"/>
      <c r="S125" s="15">
        <f t="shared" si="26"/>
        <v>0</v>
      </c>
      <c r="T125" s="15">
        <v>0.5</v>
      </c>
      <c r="U125" s="15">
        <f t="shared" si="27"/>
        <v>0</v>
      </c>
      <c r="V125" s="15">
        <f t="shared" si="39"/>
        <v>0</v>
      </c>
      <c r="W125" s="17"/>
      <c r="X125" s="17"/>
      <c r="Y125" s="18">
        <v>0.14099999999999999</v>
      </c>
      <c r="Z125" s="1">
        <f t="shared" si="28"/>
        <v>0</v>
      </c>
      <c r="AA125" s="21"/>
      <c r="AC125" s="21"/>
      <c r="AE125" s="19"/>
      <c r="AF125" s="20">
        <f>SUMIF('[1]G-Chart'!G:G,[1]Capacity!D125,'[1]G-Chart'!L:L)</f>
        <v>0</v>
      </c>
      <c r="AG125" s="2">
        <f t="shared" si="29"/>
        <v>0</v>
      </c>
      <c r="AH125" s="2">
        <f t="shared" si="30"/>
        <v>0</v>
      </c>
      <c r="AI125" s="2">
        <f t="shared" si="36"/>
        <v>0</v>
      </c>
      <c r="AJ125" s="1">
        <f t="shared" si="31"/>
        <v>0</v>
      </c>
      <c r="AK125" s="1">
        <f t="shared" si="32"/>
        <v>0</v>
      </c>
      <c r="AL125" s="1">
        <f t="shared" si="33"/>
        <v>0</v>
      </c>
      <c r="AM125" s="1">
        <f t="shared" si="37"/>
        <v>0</v>
      </c>
    </row>
    <row r="126" spans="1:39" x14ac:dyDescent="0.3">
      <c r="A126" s="12">
        <v>124</v>
      </c>
      <c r="B126" s="12" t="s">
        <v>171</v>
      </c>
      <c r="C126" s="13" t="s">
        <v>361</v>
      </c>
      <c r="D126" s="23" t="s">
        <v>362</v>
      </c>
      <c r="E126" s="14" t="s">
        <v>363</v>
      </c>
      <c r="F126" s="15">
        <f>AB126</f>
        <v>0</v>
      </c>
      <c r="G126" s="16">
        <f t="shared" si="34"/>
        <v>3</v>
      </c>
      <c r="H126" s="15"/>
      <c r="I126" s="15">
        <f t="shared" si="22"/>
        <v>0</v>
      </c>
      <c r="J126" s="15">
        <v>2</v>
      </c>
      <c r="K126" s="15">
        <f t="shared" si="35"/>
        <v>0</v>
      </c>
      <c r="L126" s="15">
        <v>1</v>
      </c>
      <c r="M126" s="15">
        <f t="shared" si="23"/>
        <v>0</v>
      </c>
      <c r="N126" s="15"/>
      <c r="O126" s="15">
        <f t="shared" si="24"/>
        <v>0</v>
      </c>
      <c r="P126" s="15"/>
      <c r="Q126" s="15">
        <f t="shared" si="25"/>
        <v>0</v>
      </c>
      <c r="R126" s="15"/>
      <c r="S126" s="15">
        <f t="shared" si="26"/>
        <v>0</v>
      </c>
      <c r="T126" s="15"/>
      <c r="U126" s="15">
        <f t="shared" si="27"/>
        <v>0</v>
      </c>
      <c r="V126" s="15">
        <f t="shared" si="39"/>
        <v>0</v>
      </c>
      <c r="W126" s="17"/>
      <c r="X126" s="17"/>
      <c r="Y126" s="18">
        <v>0.30299999999999999</v>
      </c>
      <c r="Z126" s="1">
        <f t="shared" si="28"/>
        <v>0</v>
      </c>
      <c r="AA126" s="21"/>
      <c r="AB126" s="1">
        <f>AD126*AA126</f>
        <v>0</v>
      </c>
      <c r="AC126" s="21"/>
      <c r="AE126" s="19"/>
      <c r="AF126" s="20">
        <f>SUMIF('[1]G-Chart'!G:G,[1]Capacity!D126,'[1]G-Chart'!L:L)</f>
        <v>-1320</v>
      </c>
      <c r="AG126" s="2">
        <v>0</v>
      </c>
      <c r="AH126" s="2">
        <v>0</v>
      </c>
      <c r="AI126" s="2">
        <f t="shared" si="36"/>
        <v>0</v>
      </c>
      <c r="AJ126" s="1">
        <f t="shared" si="31"/>
        <v>0</v>
      </c>
      <c r="AK126" s="1">
        <f t="shared" si="32"/>
        <v>0</v>
      </c>
      <c r="AL126" s="1">
        <f t="shared" si="33"/>
        <v>0</v>
      </c>
      <c r="AM126" s="1">
        <f t="shared" si="37"/>
        <v>-3960</v>
      </c>
    </row>
    <row r="127" spans="1:39" x14ac:dyDescent="0.3">
      <c r="A127" s="12">
        <v>125</v>
      </c>
      <c r="B127" s="12" t="s">
        <v>171</v>
      </c>
      <c r="C127" s="13" t="s">
        <v>364</v>
      </c>
      <c r="D127" s="23" t="s">
        <v>365</v>
      </c>
      <c r="E127" s="14" t="s">
        <v>366</v>
      </c>
      <c r="F127" s="15">
        <f>AB127</f>
        <v>0</v>
      </c>
      <c r="G127" s="16">
        <f t="shared" si="34"/>
        <v>3</v>
      </c>
      <c r="H127" s="15"/>
      <c r="I127" s="15">
        <f t="shared" si="22"/>
        <v>0</v>
      </c>
      <c r="J127" s="15">
        <v>2</v>
      </c>
      <c r="K127" s="15">
        <f t="shared" si="35"/>
        <v>0</v>
      </c>
      <c r="L127" s="15">
        <v>1</v>
      </c>
      <c r="M127" s="15">
        <f t="shared" si="23"/>
        <v>0</v>
      </c>
      <c r="N127" s="15"/>
      <c r="O127" s="15">
        <f t="shared" si="24"/>
        <v>0</v>
      </c>
      <c r="P127" s="15"/>
      <c r="Q127" s="15">
        <f t="shared" si="25"/>
        <v>0</v>
      </c>
      <c r="R127" s="15"/>
      <c r="S127" s="15">
        <f t="shared" si="26"/>
        <v>0</v>
      </c>
      <c r="T127" s="15"/>
      <c r="U127" s="15">
        <f t="shared" si="27"/>
        <v>0</v>
      </c>
      <c r="V127" s="15">
        <f t="shared" si="39"/>
        <v>0</v>
      </c>
      <c r="W127" s="17"/>
      <c r="X127" s="17"/>
      <c r="Y127" s="18">
        <v>0.30299999999999999</v>
      </c>
      <c r="Z127" s="1">
        <f t="shared" si="28"/>
        <v>0</v>
      </c>
      <c r="AA127" s="21"/>
      <c r="AB127" s="1">
        <f>AD127*AA127</f>
        <v>0</v>
      </c>
      <c r="AC127" s="21"/>
      <c r="AE127" s="19"/>
      <c r="AF127" s="20">
        <f>SUMIF('[1]G-Chart'!G:G,[1]Capacity!D127,'[1]G-Chart'!L:L)</f>
        <v>-1360</v>
      </c>
      <c r="AG127" s="2">
        <v>0</v>
      </c>
      <c r="AH127" s="2">
        <v>0</v>
      </c>
      <c r="AI127" s="2">
        <f t="shared" si="36"/>
        <v>0</v>
      </c>
      <c r="AJ127" s="1">
        <f t="shared" si="31"/>
        <v>0</v>
      </c>
      <c r="AK127" s="1">
        <f t="shared" si="32"/>
        <v>0</v>
      </c>
      <c r="AL127" s="1">
        <f t="shared" si="33"/>
        <v>0</v>
      </c>
      <c r="AM127" s="1">
        <f t="shared" si="37"/>
        <v>-4080</v>
      </c>
    </row>
    <row r="128" spans="1:39" x14ac:dyDescent="0.3">
      <c r="A128" s="12">
        <v>126</v>
      </c>
      <c r="B128" s="12" t="s">
        <v>239</v>
      </c>
      <c r="C128" s="13" t="s">
        <v>367</v>
      </c>
      <c r="D128" s="13" t="s">
        <v>367</v>
      </c>
      <c r="E128" s="14" t="s">
        <v>368</v>
      </c>
      <c r="F128" s="15">
        <v>0</v>
      </c>
      <c r="G128" s="16">
        <f t="shared" si="34"/>
        <v>3</v>
      </c>
      <c r="H128" s="15"/>
      <c r="I128" s="15">
        <f t="shared" si="22"/>
        <v>0</v>
      </c>
      <c r="J128" s="15"/>
      <c r="K128" s="15">
        <f t="shared" si="35"/>
        <v>0</v>
      </c>
      <c r="L128" s="15"/>
      <c r="M128" s="15">
        <f t="shared" si="23"/>
        <v>0</v>
      </c>
      <c r="N128" s="15"/>
      <c r="O128" s="15">
        <f t="shared" si="24"/>
        <v>0</v>
      </c>
      <c r="P128" s="15">
        <v>3</v>
      </c>
      <c r="Q128" s="15">
        <f t="shared" si="25"/>
        <v>0</v>
      </c>
      <c r="R128" s="15"/>
      <c r="S128" s="15">
        <f t="shared" si="26"/>
        <v>0</v>
      </c>
      <c r="T128" s="15"/>
      <c r="U128" s="15">
        <f t="shared" si="27"/>
        <v>0</v>
      </c>
      <c r="V128" s="15">
        <f t="shared" si="39"/>
        <v>0</v>
      </c>
      <c r="W128" s="17"/>
      <c r="X128" s="17"/>
      <c r="Y128" s="18">
        <v>0.17100000000000001</v>
      </c>
      <c r="Z128" s="1">
        <f t="shared" si="28"/>
        <v>0</v>
      </c>
      <c r="AA128" s="21"/>
      <c r="AC128" s="21"/>
      <c r="AE128" s="19"/>
      <c r="AF128" s="20">
        <f>SUMIF('[1]G-Chart'!G:G,[1]Capacity!D128,'[1]G-Chart'!L:L)</f>
        <v>0</v>
      </c>
      <c r="AG128" s="2">
        <f t="shared" si="29"/>
        <v>0</v>
      </c>
      <c r="AH128" s="2">
        <f t="shared" si="30"/>
        <v>0</v>
      </c>
      <c r="AI128" s="2">
        <f t="shared" si="36"/>
        <v>0</v>
      </c>
      <c r="AJ128" s="1">
        <f t="shared" si="31"/>
        <v>0</v>
      </c>
      <c r="AK128" s="1">
        <f t="shared" si="32"/>
        <v>0</v>
      </c>
      <c r="AL128" s="1">
        <f t="shared" si="33"/>
        <v>0</v>
      </c>
      <c r="AM128" s="1">
        <f t="shared" si="37"/>
        <v>0</v>
      </c>
    </row>
    <row r="129" spans="1:39" x14ac:dyDescent="0.3">
      <c r="A129" s="12">
        <v>127</v>
      </c>
      <c r="B129" s="12" t="s">
        <v>239</v>
      </c>
      <c r="C129" s="13" t="s">
        <v>369</v>
      </c>
      <c r="D129" s="13" t="s">
        <v>369</v>
      </c>
      <c r="E129" s="14" t="s">
        <v>370</v>
      </c>
      <c r="F129" s="15">
        <v>0</v>
      </c>
      <c r="G129" s="16">
        <f t="shared" si="34"/>
        <v>4</v>
      </c>
      <c r="H129" s="15"/>
      <c r="I129" s="15">
        <f t="shared" si="22"/>
        <v>0</v>
      </c>
      <c r="J129" s="15">
        <v>2</v>
      </c>
      <c r="K129" s="15">
        <f t="shared" si="35"/>
        <v>0</v>
      </c>
      <c r="L129" s="15">
        <v>1</v>
      </c>
      <c r="M129" s="15">
        <f t="shared" si="23"/>
        <v>0</v>
      </c>
      <c r="N129" s="15">
        <v>1</v>
      </c>
      <c r="O129" s="15">
        <f t="shared" si="24"/>
        <v>0</v>
      </c>
      <c r="P129" s="15"/>
      <c r="Q129" s="15">
        <f t="shared" si="25"/>
        <v>0</v>
      </c>
      <c r="R129" s="15"/>
      <c r="S129" s="15">
        <f t="shared" si="26"/>
        <v>0</v>
      </c>
      <c r="T129" s="15"/>
      <c r="U129" s="15">
        <f t="shared" si="27"/>
        <v>0</v>
      </c>
      <c r="V129" s="15">
        <f t="shared" si="39"/>
        <v>0</v>
      </c>
      <c r="W129" s="17"/>
      <c r="X129" s="17"/>
      <c r="Y129" s="18">
        <v>0.77600000000000002</v>
      </c>
      <c r="Z129" s="1">
        <f t="shared" si="28"/>
        <v>0</v>
      </c>
      <c r="AA129" s="21"/>
      <c r="AC129" s="21"/>
      <c r="AE129" s="19"/>
      <c r="AF129" s="20">
        <f>SUMIF('[1]G-Chart'!G:G,[1]Capacity!D129,'[1]G-Chart'!L:L)</f>
        <v>0</v>
      </c>
      <c r="AG129" s="2">
        <f t="shared" si="29"/>
        <v>0</v>
      </c>
      <c r="AH129" s="2">
        <f t="shared" si="30"/>
        <v>0</v>
      </c>
      <c r="AI129" s="2">
        <f t="shared" si="36"/>
        <v>0</v>
      </c>
      <c r="AJ129" s="1">
        <f t="shared" si="31"/>
        <v>0</v>
      </c>
      <c r="AK129" s="1">
        <f t="shared" si="32"/>
        <v>0</v>
      </c>
      <c r="AL129" s="1">
        <f t="shared" si="33"/>
        <v>0</v>
      </c>
      <c r="AM129" s="1">
        <f t="shared" si="37"/>
        <v>0</v>
      </c>
    </row>
    <row r="130" spans="1:39" x14ac:dyDescent="0.3">
      <c r="A130" s="12">
        <v>128</v>
      </c>
      <c r="B130" s="12" t="s">
        <v>239</v>
      </c>
      <c r="C130" s="13" t="s">
        <v>371</v>
      </c>
      <c r="D130" s="13" t="s">
        <v>371</v>
      </c>
      <c r="E130" s="14"/>
      <c r="F130" s="15">
        <v>0</v>
      </c>
      <c r="G130" s="16">
        <f t="shared" si="34"/>
        <v>0</v>
      </c>
      <c r="H130" s="15"/>
      <c r="I130" s="15">
        <f t="shared" si="22"/>
        <v>0</v>
      </c>
      <c r="J130" s="15"/>
      <c r="K130" s="15">
        <f t="shared" si="35"/>
        <v>0</v>
      </c>
      <c r="L130" s="15"/>
      <c r="M130" s="15">
        <f t="shared" si="23"/>
        <v>0</v>
      </c>
      <c r="N130" s="15"/>
      <c r="O130" s="15">
        <f t="shared" si="24"/>
        <v>0</v>
      </c>
      <c r="P130" s="15"/>
      <c r="Q130" s="15">
        <f t="shared" si="25"/>
        <v>0</v>
      </c>
      <c r="R130" s="15"/>
      <c r="S130" s="15">
        <f t="shared" si="26"/>
        <v>0</v>
      </c>
      <c r="T130" s="15"/>
      <c r="U130" s="15">
        <f t="shared" si="27"/>
        <v>0</v>
      </c>
      <c r="V130" s="15">
        <f t="shared" si="39"/>
        <v>0</v>
      </c>
      <c r="W130" s="17"/>
      <c r="X130" s="17"/>
      <c r="Y130" s="18">
        <v>7.3999999999999996E-2</v>
      </c>
      <c r="Z130" s="1">
        <f t="shared" si="28"/>
        <v>0</v>
      </c>
      <c r="AA130" s="21"/>
      <c r="AC130" s="21"/>
      <c r="AE130" s="19"/>
      <c r="AF130" s="20">
        <f>SUMIF('[1]G-Chart'!G:G,[1]Capacity!D130,'[1]G-Chart'!L:L)</f>
        <v>0</v>
      </c>
      <c r="AG130" s="2">
        <f t="shared" si="29"/>
        <v>0</v>
      </c>
      <c r="AH130" s="2">
        <f t="shared" si="30"/>
        <v>0</v>
      </c>
      <c r="AI130" s="2">
        <f t="shared" si="36"/>
        <v>0</v>
      </c>
      <c r="AJ130" s="1">
        <f t="shared" si="31"/>
        <v>0</v>
      </c>
      <c r="AK130" s="1">
        <f t="shared" si="32"/>
        <v>0</v>
      </c>
      <c r="AL130" s="1">
        <f t="shared" si="33"/>
        <v>0</v>
      </c>
      <c r="AM130" s="1">
        <f t="shared" si="37"/>
        <v>0</v>
      </c>
    </row>
    <row r="131" spans="1:39" x14ac:dyDescent="0.3">
      <c r="A131" s="12">
        <v>129</v>
      </c>
      <c r="B131" s="12" t="s">
        <v>96</v>
      </c>
      <c r="C131" s="13" t="s">
        <v>372</v>
      </c>
      <c r="D131" s="23" t="s">
        <v>373</v>
      </c>
      <c r="E131" s="14" t="s">
        <v>374</v>
      </c>
      <c r="F131" s="15">
        <v>0</v>
      </c>
      <c r="G131" s="16">
        <f t="shared" si="34"/>
        <v>3</v>
      </c>
      <c r="H131" s="15"/>
      <c r="I131" s="15">
        <f t="shared" ref="I131:I194" si="40">H131*F131</f>
        <v>0</v>
      </c>
      <c r="J131" s="15"/>
      <c r="K131" s="15">
        <f t="shared" si="35"/>
        <v>0</v>
      </c>
      <c r="L131" s="15"/>
      <c r="M131" s="15">
        <f t="shared" ref="M131:M194" si="41">L131*F131</f>
        <v>0</v>
      </c>
      <c r="N131" s="15">
        <v>3</v>
      </c>
      <c r="O131" s="15">
        <f t="shared" ref="O131:O194" si="42">N131*F131</f>
        <v>0</v>
      </c>
      <c r="P131" s="15"/>
      <c r="Q131" s="15">
        <f t="shared" ref="Q131:Q194" si="43">P131*F131</f>
        <v>0</v>
      </c>
      <c r="R131" s="15"/>
      <c r="S131" s="15">
        <f t="shared" ref="S131:S194" si="44">R131*F131</f>
        <v>0</v>
      </c>
      <c r="T131" s="15"/>
      <c r="U131" s="15">
        <f t="shared" ref="U131:U194" si="45">T131*F131</f>
        <v>0</v>
      </c>
      <c r="V131" s="15">
        <f t="shared" si="39"/>
        <v>0</v>
      </c>
      <c r="W131" s="17"/>
      <c r="X131" s="17"/>
      <c r="Y131" s="18">
        <v>0.22800000000000001</v>
      </c>
      <c r="Z131" s="1">
        <f t="shared" ref="Z131:Z194" si="46">F131/25</f>
        <v>0</v>
      </c>
      <c r="AA131" s="21"/>
      <c r="AC131" s="21"/>
      <c r="AE131" s="19"/>
      <c r="AF131" s="20">
        <f>SUMIF('[1]G-Chart'!G:G,[1]Capacity!D131,'[1]G-Chart'!L:L)</f>
        <v>0</v>
      </c>
      <c r="AG131" s="2">
        <f t="shared" ref="AG131:AG194" si="47">AF131*J131</f>
        <v>0</v>
      </c>
      <c r="AH131" s="2">
        <f t="shared" ref="AH131:AH194" si="48">AF131*L131</f>
        <v>0</v>
      </c>
      <c r="AI131" s="2">
        <f t="shared" si="36"/>
        <v>0</v>
      </c>
      <c r="AJ131" s="1">
        <f t="shared" ref="AJ131:AJ194" si="49">AF131*P131</f>
        <v>0</v>
      </c>
      <c r="AK131" s="1">
        <f t="shared" ref="AK131:AK194" si="50">AF131*R131</f>
        <v>0</v>
      </c>
      <c r="AL131" s="1">
        <f t="shared" ref="AL131:AL194" si="51">AF131*T131</f>
        <v>0</v>
      </c>
      <c r="AM131" s="1">
        <f t="shared" si="37"/>
        <v>0</v>
      </c>
    </row>
    <row r="132" spans="1:39" x14ac:dyDescent="0.3">
      <c r="A132" s="12">
        <v>130</v>
      </c>
      <c r="B132" s="12" t="s">
        <v>96</v>
      </c>
      <c r="C132" s="13" t="s">
        <v>375</v>
      </c>
      <c r="D132" s="13" t="s">
        <v>375</v>
      </c>
      <c r="E132" s="14" t="s">
        <v>376</v>
      </c>
      <c r="F132" s="15">
        <v>0</v>
      </c>
      <c r="G132" s="16">
        <f t="shared" ref="G132:G195" si="52">H132+J132+L132+N132+P132+R132+T132</f>
        <v>4</v>
      </c>
      <c r="H132" s="15"/>
      <c r="I132" s="15">
        <f t="shared" si="40"/>
        <v>0</v>
      </c>
      <c r="J132" s="15">
        <v>2</v>
      </c>
      <c r="K132" s="15">
        <f t="shared" ref="K132:K195" si="53">F132*J132</f>
        <v>0</v>
      </c>
      <c r="L132" s="15">
        <v>1</v>
      </c>
      <c r="M132" s="15">
        <f t="shared" si="41"/>
        <v>0</v>
      </c>
      <c r="N132" s="15">
        <v>1</v>
      </c>
      <c r="O132" s="15">
        <f t="shared" si="42"/>
        <v>0</v>
      </c>
      <c r="P132" s="15"/>
      <c r="Q132" s="15">
        <f t="shared" si="43"/>
        <v>0</v>
      </c>
      <c r="R132" s="15"/>
      <c r="S132" s="15">
        <f t="shared" si="44"/>
        <v>0</v>
      </c>
      <c r="T132" s="15"/>
      <c r="U132" s="15">
        <f t="shared" si="45"/>
        <v>0</v>
      </c>
      <c r="V132" s="15">
        <f t="shared" si="39"/>
        <v>0</v>
      </c>
      <c r="W132" s="17"/>
      <c r="X132" s="17"/>
      <c r="Y132" s="18">
        <v>0.20799999999999999</v>
      </c>
      <c r="Z132" s="1">
        <f t="shared" si="46"/>
        <v>0</v>
      </c>
      <c r="AA132" s="21"/>
      <c r="AC132" s="21"/>
      <c r="AE132" s="19"/>
      <c r="AF132" s="20">
        <f>SUMIF('[1]G-Chart'!G:G,[1]Capacity!D132,'[1]G-Chart'!L:L)</f>
        <v>0</v>
      </c>
      <c r="AG132" s="2">
        <f t="shared" si="47"/>
        <v>0</v>
      </c>
      <c r="AH132" s="2">
        <f t="shared" si="48"/>
        <v>0</v>
      </c>
      <c r="AI132" s="2">
        <f t="shared" ref="AI132:AI195" si="54">AF132*N132</f>
        <v>0</v>
      </c>
      <c r="AJ132" s="1">
        <f t="shared" si="49"/>
        <v>0</v>
      </c>
      <c r="AK132" s="1">
        <f t="shared" si="50"/>
        <v>0</v>
      </c>
      <c r="AL132" s="1">
        <f t="shared" si="51"/>
        <v>0</v>
      </c>
      <c r="AM132" s="1">
        <f t="shared" ref="AM132:AM195" si="55">AF132*G132</f>
        <v>0</v>
      </c>
    </row>
    <row r="133" spans="1:39" x14ac:dyDescent="0.3">
      <c r="A133" s="12">
        <v>131</v>
      </c>
      <c r="B133" s="24" t="s">
        <v>26</v>
      </c>
      <c r="C133" s="25" t="s">
        <v>377</v>
      </c>
      <c r="D133" s="25" t="s">
        <v>378</v>
      </c>
      <c r="E133" s="27" t="s">
        <v>379</v>
      </c>
      <c r="F133" s="28">
        <v>0</v>
      </c>
      <c r="G133" s="29">
        <f t="shared" si="52"/>
        <v>3</v>
      </c>
      <c r="H133" s="15"/>
      <c r="I133" s="15">
        <f t="shared" si="40"/>
        <v>0</v>
      </c>
      <c r="J133" s="15"/>
      <c r="K133" s="15">
        <f t="shared" si="53"/>
        <v>0</v>
      </c>
      <c r="L133" s="15"/>
      <c r="M133" s="15">
        <f t="shared" si="41"/>
        <v>0</v>
      </c>
      <c r="N133" s="15">
        <v>2</v>
      </c>
      <c r="O133" s="15">
        <f t="shared" si="42"/>
        <v>0</v>
      </c>
      <c r="P133" s="15"/>
      <c r="Q133" s="15">
        <f t="shared" si="43"/>
        <v>0</v>
      </c>
      <c r="R133" s="15">
        <v>1</v>
      </c>
      <c r="S133" s="15">
        <f t="shared" si="44"/>
        <v>0</v>
      </c>
      <c r="T133" s="15"/>
      <c r="U133" s="15">
        <f t="shared" si="45"/>
        <v>0</v>
      </c>
      <c r="V133" s="15">
        <f t="shared" si="39"/>
        <v>0</v>
      </c>
      <c r="W133" s="17"/>
      <c r="X133" s="17"/>
      <c r="Y133" s="18">
        <v>0.22800000000000001</v>
      </c>
      <c r="Z133" s="1">
        <f t="shared" si="46"/>
        <v>0</v>
      </c>
      <c r="AA133" s="21"/>
      <c r="AC133" s="21"/>
      <c r="AE133" s="19"/>
      <c r="AF133" s="20">
        <f>SUMIF('[1]G-Chart'!G:G,[1]Capacity!D133,'[1]G-Chart'!L:L)</f>
        <v>0</v>
      </c>
      <c r="AG133" s="2">
        <f t="shared" si="47"/>
        <v>0</v>
      </c>
      <c r="AH133" s="2">
        <f t="shared" si="48"/>
        <v>0</v>
      </c>
      <c r="AI133" s="2">
        <f t="shared" si="54"/>
        <v>0</v>
      </c>
      <c r="AJ133" s="1">
        <f t="shared" si="49"/>
        <v>0</v>
      </c>
      <c r="AK133" s="1">
        <f t="shared" si="50"/>
        <v>0</v>
      </c>
      <c r="AL133" s="1">
        <f t="shared" si="51"/>
        <v>0</v>
      </c>
      <c r="AM133" s="1">
        <f t="shared" si="55"/>
        <v>0</v>
      </c>
    </row>
    <row r="134" spans="1:39" x14ac:dyDescent="0.3">
      <c r="A134" s="12">
        <v>132</v>
      </c>
      <c r="B134" s="12" t="s">
        <v>276</v>
      </c>
      <c r="C134" s="13" t="s">
        <v>380</v>
      </c>
      <c r="D134" s="13" t="s">
        <v>381</v>
      </c>
      <c r="E134" s="14" t="s">
        <v>382</v>
      </c>
      <c r="F134" s="15">
        <f t="shared" ref="F134:F140" si="56">+AB134</f>
        <v>2404</v>
      </c>
      <c r="G134" s="15">
        <f t="shared" si="52"/>
        <v>4</v>
      </c>
      <c r="H134" s="15"/>
      <c r="I134" s="15">
        <f t="shared" si="40"/>
        <v>0</v>
      </c>
      <c r="J134" s="15"/>
      <c r="K134" s="15">
        <f t="shared" si="53"/>
        <v>0</v>
      </c>
      <c r="L134" s="15"/>
      <c r="M134" s="15">
        <f t="shared" si="41"/>
        <v>0</v>
      </c>
      <c r="N134" s="15"/>
      <c r="O134" s="15">
        <f t="shared" si="42"/>
        <v>0</v>
      </c>
      <c r="P134" s="15"/>
      <c r="Q134" s="15">
        <f t="shared" si="43"/>
        <v>0</v>
      </c>
      <c r="R134" s="15">
        <v>1</v>
      </c>
      <c r="S134" s="15">
        <f t="shared" si="44"/>
        <v>2404</v>
      </c>
      <c r="T134" s="15">
        <v>3</v>
      </c>
      <c r="U134" s="15">
        <f t="shared" si="45"/>
        <v>7212</v>
      </c>
      <c r="V134" s="15">
        <f t="shared" si="39"/>
        <v>9616</v>
      </c>
      <c r="W134" s="17"/>
      <c r="X134" s="17"/>
      <c r="Y134" s="18">
        <v>3.9E-2</v>
      </c>
      <c r="Z134" s="1">
        <f t="shared" si="46"/>
        <v>96.16</v>
      </c>
      <c r="AA134" s="21">
        <v>1</v>
      </c>
      <c r="AB134" s="1">
        <f>AA134*$AD$39</f>
        <v>2404</v>
      </c>
      <c r="AC134" s="21"/>
      <c r="AE134" s="19"/>
      <c r="AF134" s="20">
        <f>SUMIF('[1]G-Chart'!G:G,[1]Capacity!D134,'[1]G-Chart'!L:L)</f>
        <v>1450</v>
      </c>
      <c r="AG134" s="2">
        <f t="shared" si="47"/>
        <v>0</v>
      </c>
      <c r="AH134" s="2">
        <f t="shared" si="48"/>
        <v>0</v>
      </c>
      <c r="AI134" s="2">
        <f t="shared" si="54"/>
        <v>0</v>
      </c>
      <c r="AJ134" s="1">
        <f t="shared" si="49"/>
        <v>0</v>
      </c>
      <c r="AK134" s="1">
        <f t="shared" si="50"/>
        <v>1450</v>
      </c>
      <c r="AL134" s="1">
        <f t="shared" si="51"/>
        <v>4350</v>
      </c>
      <c r="AM134" s="1">
        <f t="shared" si="55"/>
        <v>5800</v>
      </c>
    </row>
    <row r="135" spans="1:39" x14ac:dyDescent="0.3">
      <c r="A135" s="12">
        <v>133</v>
      </c>
      <c r="B135" s="43" t="s">
        <v>276</v>
      </c>
      <c r="C135" s="23" t="s">
        <v>383</v>
      </c>
      <c r="D135" s="23" t="s">
        <v>384</v>
      </c>
      <c r="E135" s="14" t="s">
        <v>385</v>
      </c>
      <c r="F135" s="15">
        <f t="shared" si="56"/>
        <v>0</v>
      </c>
      <c r="G135" s="16">
        <f t="shared" si="52"/>
        <v>2</v>
      </c>
      <c r="H135" s="15"/>
      <c r="I135" s="15">
        <f t="shared" si="40"/>
        <v>0</v>
      </c>
      <c r="J135" s="15"/>
      <c r="K135" s="15">
        <f t="shared" si="53"/>
        <v>0</v>
      </c>
      <c r="L135" s="15">
        <v>1</v>
      </c>
      <c r="M135" s="15">
        <f t="shared" si="41"/>
        <v>0</v>
      </c>
      <c r="N135" s="15">
        <v>0</v>
      </c>
      <c r="O135" s="15">
        <f t="shared" si="42"/>
        <v>0</v>
      </c>
      <c r="P135" s="15"/>
      <c r="Q135" s="15">
        <f t="shared" si="43"/>
        <v>0</v>
      </c>
      <c r="R135" s="15"/>
      <c r="S135" s="15">
        <f t="shared" si="44"/>
        <v>0</v>
      </c>
      <c r="T135" s="15">
        <v>1</v>
      </c>
      <c r="U135" s="15">
        <f t="shared" si="45"/>
        <v>0</v>
      </c>
      <c r="V135" s="15">
        <f t="shared" si="39"/>
        <v>0</v>
      </c>
      <c r="W135" s="17"/>
      <c r="X135" s="17"/>
      <c r="Y135" s="18">
        <v>0.02</v>
      </c>
      <c r="Z135" s="1">
        <f t="shared" si="46"/>
        <v>0</v>
      </c>
      <c r="AA135" s="21">
        <v>1</v>
      </c>
      <c r="AB135" s="1">
        <v>0</v>
      </c>
      <c r="AC135" s="21"/>
      <c r="AE135" s="19"/>
      <c r="AF135" s="20">
        <f>SUMIF('[1]G-Chart'!G:G,[1]Capacity!D135,'[1]G-Chart'!L:L)</f>
        <v>-1316</v>
      </c>
      <c r="AG135" s="2">
        <f t="shared" si="47"/>
        <v>0</v>
      </c>
      <c r="AH135" s="2">
        <v>0</v>
      </c>
      <c r="AI135" s="2">
        <f t="shared" si="54"/>
        <v>0</v>
      </c>
      <c r="AJ135" s="1">
        <f t="shared" si="49"/>
        <v>0</v>
      </c>
      <c r="AK135" s="1">
        <f t="shared" si="50"/>
        <v>0</v>
      </c>
      <c r="AL135" s="1">
        <v>0</v>
      </c>
      <c r="AM135" s="1">
        <f t="shared" si="55"/>
        <v>-2632</v>
      </c>
    </row>
    <row r="136" spans="1:39" x14ac:dyDescent="0.3">
      <c r="A136" s="12">
        <v>134</v>
      </c>
      <c r="B136" s="43" t="s">
        <v>276</v>
      </c>
      <c r="C136" s="23" t="s">
        <v>386</v>
      </c>
      <c r="D136" s="23" t="s">
        <v>387</v>
      </c>
      <c r="E136" s="14" t="s">
        <v>385</v>
      </c>
      <c r="F136" s="15">
        <f t="shared" si="56"/>
        <v>0</v>
      </c>
      <c r="G136" s="16">
        <f t="shared" si="52"/>
        <v>2</v>
      </c>
      <c r="H136" s="15"/>
      <c r="I136" s="15">
        <f t="shared" si="40"/>
        <v>0</v>
      </c>
      <c r="J136" s="15"/>
      <c r="K136" s="15">
        <f t="shared" si="53"/>
        <v>0</v>
      </c>
      <c r="L136" s="15">
        <v>1</v>
      </c>
      <c r="M136" s="15">
        <f t="shared" si="41"/>
        <v>0</v>
      </c>
      <c r="N136" s="15">
        <v>0</v>
      </c>
      <c r="O136" s="15">
        <f t="shared" si="42"/>
        <v>0</v>
      </c>
      <c r="P136" s="15"/>
      <c r="Q136" s="15">
        <f t="shared" si="43"/>
        <v>0</v>
      </c>
      <c r="R136" s="15"/>
      <c r="S136" s="15">
        <f t="shared" si="44"/>
        <v>0</v>
      </c>
      <c r="T136" s="15">
        <v>1</v>
      </c>
      <c r="U136" s="15">
        <f t="shared" si="45"/>
        <v>0</v>
      </c>
      <c r="V136" s="15">
        <f t="shared" si="39"/>
        <v>0</v>
      </c>
      <c r="W136" s="17"/>
      <c r="X136" s="17"/>
      <c r="Y136" s="18">
        <v>2.4E-2</v>
      </c>
      <c r="Z136" s="1">
        <f t="shared" si="46"/>
        <v>0</v>
      </c>
      <c r="AA136" s="21">
        <v>1</v>
      </c>
      <c r="AB136" s="1">
        <v>0</v>
      </c>
      <c r="AC136" s="21"/>
      <c r="AE136" s="19"/>
      <c r="AF136" s="20">
        <f>SUMIF('[1]G-Chart'!G:G,[1]Capacity!D136,'[1]G-Chart'!L:L)</f>
        <v>0</v>
      </c>
      <c r="AG136" s="2">
        <f t="shared" si="47"/>
        <v>0</v>
      </c>
      <c r="AH136" s="2">
        <f t="shared" si="48"/>
        <v>0</v>
      </c>
      <c r="AI136" s="2">
        <f t="shared" si="54"/>
        <v>0</v>
      </c>
      <c r="AJ136" s="1">
        <f t="shared" si="49"/>
        <v>0</v>
      </c>
      <c r="AK136" s="1">
        <f t="shared" si="50"/>
        <v>0</v>
      </c>
      <c r="AL136" s="1">
        <f t="shared" si="51"/>
        <v>0</v>
      </c>
      <c r="AM136" s="1">
        <f t="shared" si="55"/>
        <v>0</v>
      </c>
    </row>
    <row r="137" spans="1:39" x14ac:dyDescent="0.3">
      <c r="A137" s="12">
        <v>135</v>
      </c>
      <c r="B137" s="43" t="s">
        <v>276</v>
      </c>
      <c r="C137" s="23" t="s">
        <v>388</v>
      </c>
      <c r="D137" s="23" t="s">
        <v>389</v>
      </c>
      <c r="E137" s="14" t="s">
        <v>385</v>
      </c>
      <c r="F137" s="15">
        <f t="shared" si="56"/>
        <v>0</v>
      </c>
      <c r="G137" s="16">
        <f t="shared" si="52"/>
        <v>2</v>
      </c>
      <c r="H137" s="15"/>
      <c r="I137" s="15">
        <f t="shared" si="40"/>
        <v>0</v>
      </c>
      <c r="J137" s="15"/>
      <c r="K137" s="15">
        <f t="shared" si="53"/>
        <v>0</v>
      </c>
      <c r="L137" s="15">
        <v>1</v>
      </c>
      <c r="M137" s="15">
        <f t="shared" si="41"/>
        <v>0</v>
      </c>
      <c r="N137" s="15">
        <v>1</v>
      </c>
      <c r="O137" s="15">
        <f t="shared" si="42"/>
        <v>0</v>
      </c>
      <c r="P137" s="15"/>
      <c r="Q137" s="15">
        <f t="shared" si="43"/>
        <v>0</v>
      </c>
      <c r="R137" s="15"/>
      <c r="S137" s="15">
        <f t="shared" si="44"/>
        <v>0</v>
      </c>
      <c r="T137" s="15"/>
      <c r="U137" s="15">
        <f t="shared" si="45"/>
        <v>0</v>
      </c>
      <c r="V137" s="15">
        <f t="shared" si="39"/>
        <v>0</v>
      </c>
      <c r="W137" s="17"/>
      <c r="X137" s="17"/>
      <c r="Y137" s="18">
        <v>2.7E-2</v>
      </c>
      <c r="Z137" s="1">
        <f t="shared" si="46"/>
        <v>0</v>
      </c>
      <c r="AA137" s="21">
        <v>1</v>
      </c>
      <c r="AB137" s="1">
        <v>0</v>
      </c>
      <c r="AC137" s="21"/>
      <c r="AE137" s="19"/>
      <c r="AF137" s="20">
        <f>SUMIF('[1]G-Chart'!G:G,[1]Capacity!D137,'[1]G-Chart'!L:L)</f>
        <v>-1316</v>
      </c>
      <c r="AG137" s="2">
        <f t="shared" si="47"/>
        <v>0</v>
      </c>
      <c r="AH137" s="2">
        <v>0</v>
      </c>
      <c r="AI137" s="2">
        <v>0</v>
      </c>
      <c r="AJ137" s="1">
        <f t="shared" si="49"/>
        <v>0</v>
      </c>
      <c r="AK137" s="1">
        <f t="shared" si="50"/>
        <v>0</v>
      </c>
      <c r="AL137" s="1">
        <f t="shared" si="51"/>
        <v>0</v>
      </c>
      <c r="AM137" s="1">
        <f t="shared" si="55"/>
        <v>-2632</v>
      </c>
    </row>
    <row r="138" spans="1:39" x14ac:dyDescent="0.3">
      <c r="A138" s="12">
        <v>136</v>
      </c>
      <c r="B138" s="39" t="s">
        <v>276</v>
      </c>
      <c r="C138" s="26" t="s">
        <v>390</v>
      </c>
      <c r="D138" s="26" t="s">
        <v>391</v>
      </c>
      <c r="E138" s="27" t="s">
        <v>385</v>
      </c>
      <c r="F138" s="28">
        <f t="shared" si="56"/>
        <v>0</v>
      </c>
      <c r="G138" s="29">
        <f t="shared" si="52"/>
        <v>2</v>
      </c>
      <c r="H138" s="15"/>
      <c r="I138" s="15">
        <f t="shared" si="40"/>
        <v>0</v>
      </c>
      <c r="J138" s="15"/>
      <c r="K138" s="15">
        <f t="shared" si="53"/>
        <v>0</v>
      </c>
      <c r="L138" s="15">
        <v>1</v>
      </c>
      <c r="M138" s="15">
        <f t="shared" si="41"/>
        <v>0</v>
      </c>
      <c r="N138" s="15">
        <v>1</v>
      </c>
      <c r="O138" s="15">
        <f t="shared" si="42"/>
        <v>0</v>
      </c>
      <c r="P138" s="15"/>
      <c r="Q138" s="15">
        <f t="shared" si="43"/>
        <v>0</v>
      </c>
      <c r="R138" s="15"/>
      <c r="S138" s="15">
        <f t="shared" si="44"/>
        <v>0</v>
      </c>
      <c r="T138" s="15"/>
      <c r="U138" s="15">
        <f t="shared" si="45"/>
        <v>0</v>
      </c>
      <c r="V138" s="15">
        <f t="shared" si="39"/>
        <v>0</v>
      </c>
      <c r="W138" s="17"/>
      <c r="X138" s="17"/>
      <c r="Y138" s="18">
        <v>2.7E-2</v>
      </c>
      <c r="Z138" s="1">
        <f t="shared" si="46"/>
        <v>0</v>
      </c>
      <c r="AA138" s="21">
        <v>1</v>
      </c>
      <c r="AB138" s="1">
        <v>0</v>
      </c>
      <c r="AC138" s="21"/>
      <c r="AE138" s="19"/>
      <c r="AF138" s="20">
        <f>SUMIF('[1]G-Chart'!G:G,[1]Capacity!D138,'[1]G-Chart'!L:L)</f>
        <v>0</v>
      </c>
      <c r="AG138" s="2">
        <f t="shared" si="47"/>
        <v>0</v>
      </c>
      <c r="AH138" s="2">
        <f t="shared" si="48"/>
        <v>0</v>
      </c>
      <c r="AI138" s="2">
        <f t="shared" si="54"/>
        <v>0</v>
      </c>
      <c r="AJ138" s="1">
        <f t="shared" si="49"/>
        <v>0</v>
      </c>
      <c r="AK138" s="1">
        <f t="shared" si="50"/>
        <v>0</v>
      </c>
      <c r="AL138" s="1">
        <f t="shared" si="51"/>
        <v>0</v>
      </c>
      <c r="AM138" s="1">
        <f t="shared" si="55"/>
        <v>0</v>
      </c>
    </row>
    <row r="139" spans="1:39" x14ac:dyDescent="0.3">
      <c r="A139" s="12">
        <v>137</v>
      </c>
      <c r="B139" s="12" t="s">
        <v>276</v>
      </c>
      <c r="C139" s="13" t="s">
        <v>392</v>
      </c>
      <c r="D139" s="22" t="s">
        <v>393</v>
      </c>
      <c r="E139" s="14" t="s">
        <v>394</v>
      </c>
      <c r="F139" s="15">
        <f t="shared" si="56"/>
        <v>4808</v>
      </c>
      <c r="G139" s="15">
        <f t="shared" si="52"/>
        <v>2</v>
      </c>
      <c r="H139" s="15"/>
      <c r="I139" s="15">
        <f t="shared" si="40"/>
        <v>0</v>
      </c>
      <c r="J139" s="15"/>
      <c r="K139" s="15">
        <f t="shared" si="53"/>
        <v>0</v>
      </c>
      <c r="L139" s="15"/>
      <c r="M139" s="15">
        <f t="shared" si="41"/>
        <v>0</v>
      </c>
      <c r="N139" s="15"/>
      <c r="O139" s="15">
        <f t="shared" si="42"/>
        <v>0</v>
      </c>
      <c r="P139" s="15">
        <v>1</v>
      </c>
      <c r="Q139" s="15">
        <f t="shared" si="43"/>
        <v>4808</v>
      </c>
      <c r="R139" s="15">
        <v>1</v>
      </c>
      <c r="S139" s="15">
        <f t="shared" si="44"/>
        <v>4808</v>
      </c>
      <c r="T139" s="15"/>
      <c r="U139" s="15">
        <f t="shared" si="45"/>
        <v>0</v>
      </c>
      <c r="V139" s="15">
        <f t="shared" si="39"/>
        <v>9616</v>
      </c>
      <c r="W139" s="17"/>
      <c r="X139" s="17"/>
      <c r="Y139" s="18">
        <v>8.9999999999999993E-3</v>
      </c>
      <c r="Z139" s="1">
        <f t="shared" si="46"/>
        <v>192.32</v>
      </c>
      <c r="AA139" s="21">
        <v>2</v>
      </c>
      <c r="AB139" s="1">
        <f>AA139*$AD$39</f>
        <v>4808</v>
      </c>
      <c r="AC139" s="21"/>
      <c r="AE139" s="19"/>
      <c r="AF139" s="20">
        <f>SUMIF('[1]G-Chart'!G:G,[1]Capacity!D139,'[1]G-Chart'!L:L)</f>
        <v>1950</v>
      </c>
      <c r="AG139" s="2">
        <f t="shared" si="47"/>
        <v>0</v>
      </c>
      <c r="AH139" s="2">
        <f t="shared" si="48"/>
        <v>0</v>
      </c>
      <c r="AI139" s="2">
        <f t="shared" si="54"/>
        <v>0</v>
      </c>
      <c r="AJ139" s="1">
        <f t="shared" si="49"/>
        <v>1950</v>
      </c>
      <c r="AK139" s="1">
        <f t="shared" si="50"/>
        <v>1950</v>
      </c>
      <c r="AL139" s="1">
        <f t="shared" si="51"/>
        <v>0</v>
      </c>
      <c r="AM139" s="1">
        <f t="shared" si="55"/>
        <v>3900</v>
      </c>
    </row>
    <row r="140" spans="1:39" x14ac:dyDescent="0.3">
      <c r="A140" s="12">
        <v>138</v>
      </c>
      <c r="B140" s="12" t="s">
        <v>276</v>
      </c>
      <c r="C140" s="13" t="s">
        <v>395</v>
      </c>
      <c r="D140" s="22" t="s">
        <v>396</v>
      </c>
      <c r="E140" s="14" t="s">
        <v>394</v>
      </c>
      <c r="F140" s="15">
        <f t="shared" si="56"/>
        <v>7212</v>
      </c>
      <c r="G140" s="15">
        <f t="shared" si="52"/>
        <v>2</v>
      </c>
      <c r="H140" s="15"/>
      <c r="I140" s="15">
        <f t="shared" si="40"/>
        <v>0</v>
      </c>
      <c r="J140" s="15"/>
      <c r="K140" s="15">
        <f t="shared" si="53"/>
        <v>0</v>
      </c>
      <c r="L140" s="15"/>
      <c r="M140" s="15">
        <f t="shared" si="41"/>
        <v>0</v>
      </c>
      <c r="N140" s="15"/>
      <c r="O140" s="15">
        <f t="shared" si="42"/>
        <v>0</v>
      </c>
      <c r="P140" s="15">
        <v>1</v>
      </c>
      <c r="Q140" s="15">
        <f t="shared" si="43"/>
        <v>7212</v>
      </c>
      <c r="R140" s="15">
        <v>1</v>
      </c>
      <c r="S140" s="15">
        <f t="shared" si="44"/>
        <v>7212</v>
      </c>
      <c r="T140" s="15"/>
      <c r="U140" s="15">
        <f t="shared" si="45"/>
        <v>0</v>
      </c>
      <c r="V140" s="15">
        <f t="shared" si="39"/>
        <v>14424</v>
      </c>
      <c r="W140" s="17"/>
      <c r="X140" s="17"/>
      <c r="Y140" s="18">
        <v>6.0000000000000001E-3</v>
      </c>
      <c r="Z140" s="1">
        <f t="shared" si="46"/>
        <v>288.48</v>
      </c>
      <c r="AA140" s="21">
        <v>3</v>
      </c>
      <c r="AB140" s="1">
        <f>AA140*$AD$39</f>
        <v>7212</v>
      </c>
      <c r="AC140" s="21"/>
      <c r="AE140" s="19"/>
      <c r="AF140" s="20">
        <f>SUMIF('[1]G-Chart'!G:G,[1]Capacity!D140,'[1]G-Chart'!L:L)</f>
        <v>10639</v>
      </c>
      <c r="AG140" s="2">
        <f t="shared" si="47"/>
        <v>0</v>
      </c>
      <c r="AH140" s="2">
        <f t="shared" si="48"/>
        <v>0</v>
      </c>
      <c r="AI140" s="2">
        <f t="shared" si="54"/>
        <v>0</v>
      </c>
      <c r="AJ140" s="1">
        <f t="shared" si="49"/>
        <v>10639</v>
      </c>
      <c r="AK140" s="1">
        <f t="shared" si="50"/>
        <v>10639</v>
      </c>
      <c r="AL140" s="1">
        <f t="shared" si="51"/>
        <v>0</v>
      </c>
      <c r="AM140" s="1">
        <f t="shared" si="55"/>
        <v>21278</v>
      </c>
    </row>
    <row r="141" spans="1:39" x14ac:dyDescent="0.3">
      <c r="A141" s="12">
        <v>139</v>
      </c>
      <c r="B141" s="12" t="s">
        <v>236</v>
      </c>
      <c r="C141" s="13" t="s">
        <v>397</v>
      </c>
      <c r="D141" s="13" t="s">
        <v>397</v>
      </c>
      <c r="E141" s="14" t="s">
        <v>398</v>
      </c>
      <c r="F141" s="15">
        <v>0</v>
      </c>
      <c r="G141" s="16">
        <f t="shared" si="52"/>
        <v>1</v>
      </c>
      <c r="H141" s="15"/>
      <c r="I141" s="15">
        <f t="shared" si="40"/>
        <v>0</v>
      </c>
      <c r="J141" s="15"/>
      <c r="K141" s="15">
        <f t="shared" si="53"/>
        <v>0</v>
      </c>
      <c r="L141" s="15"/>
      <c r="M141" s="15">
        <f t="shared" si="41"/>
        <v>0</v>
      </c>
      <c r="N141" s="15"/>
      <c r="O141" s="15">
        <f t="shared" si="42"/>
        <v>0</v>
      </c>
      <c r="P141" s="15"/>
      <c r="Q141" s="15">
        <f t="shared" si="43"/>
        <v>0</v>
      </c>
      <c r="R141" s="15"/>
      <c r="S141" s="15">
        <f t="shared" si="44"/>
        <v>0</v>
      </c>
      <c r="T141" s="15">
        <v>1</v>
      </c>
      <c r="U141" s="15">
        <f t="shared" si="45"/>
        <v>0</v>
      </c>
      <c r="V141" s="15">
        <f t="shared" si="39"/>
        <v>0</v>
      </c>
      <c r="W141" s="17"/>
      <c r="X141" s="17"/>
      <c r="Y141" s="18">
        <v>8.5999999999999993E-2</v>
      </c>
      <c r="Z141" s="1">
        <f t="shared" si="46"/>
        <v>0</v>
      </c>
      <c r="AA141" s="21"/>
      <c r="AC141" s="21"/>
      <c r="AE141" s="19"/>
      <c r="AF141" s="20">
        <f>SUMIF('[1]G-Chart'!G:G,[1]Capacity!D141,'[1]G-Chart'!L:L)</f>
        <v>0</v>
      </c>
      <c r="AG141" s="2">
        <f t="shared" si="47"/>
        <v>0</v>
      </c>
      <c r="AH141" s="2">
        <f t="shared" si="48"/>
        <v>0</v>
      </c>
      <c r="AI141" s="2">
        <f t="shared" si="54"/>
        <v>0</v>
      </c>
      <c r="AJ141" s="1">
        <f t="shared" si="49"/>
        <v>0</v>
      </c>
      <c r="AK141" s="1">
        <f t="shared" si="50"/>
        <v>0</v>
      </c>
      <c r="AL141" s="1">
        <f t="shared" si="51"/>
        <v>0</v>
      </c>
      <c r="AM141" s="1">
        <f t="shared" si="55"/>
        <v>0</v>
      </c>
    </row>
    <row r="142" spans="1:39" x14ac:dyDescent="0.3">
      <c r="A142" s="12">
        <v>140</v>
      </c>
      <c r="B142" s="12" t="s">
        <v>236</v>
      </c>
      <c r="C142" s="13" t="s">
        <v>399</v>
      </c>
      <c r="D142" s="13" t="s">
        <v>399</v>
      </c>
      <c r="E142" s="14" t="s">
        <v>400</v>
      </c>
      <c r="F142" s="15">
        <v>0</v>
      </c>
      <c r="G142" s="16">
        <f t="shared" si="52"/>
        <v>1</v>
      </c>
      <c r="H142" s="15"/>
      <c r="I142" s="15">
        <f t="shared" si="40"/>
        <v>0</v>
      </c>
      <c r="J142" s="15"/>
      <c r="K142" s="15">
        <f t="shared" si="53"/>
        <v>0</v>
      </c>
      <c r="L142" s="15"/>
      <c r="M142" s="15">
        <f t="shared" si="41"/>
        <v>0</v>
      </c>
      <c r="N142" s="15"/>
      <c r="O142" s="15">
        <f t="shared" si="42"/>
        <v>0</v>
      </c>
      <c r="P142" s="15"/>
      <c r="Q142" s="15">
        <f t="shared" si="43"/>
        <v>0</v>
      </c>
      <c r="R142" s="15"/>
      <c r="S142" s="15">
        <f t="shared" si="44"/>
        <v>0</v>
      </c>
      <c r="T142" s="15">
        <v>1</v>
      </c>
      <c r="U142" s="15">
        <f t="shared" si="45"/>
        <v>0</v>
      </c>
      <c r="V142" s="15">
        <f t="shared" si="39"/>
        <v>0</v>
      </c>
      <c r="W142" s="17"/>
      <c r="X142" s="17"/>
      <c r="Y142" s="18">
        <v>0.114</v>
      </c>
      <c r="Z142" s="1">
        <f t="shared" si="46"/>
        <v>0</v>
      </c>
      <c r="AA142" s="21"/>
      <c r="AC142" s="21"/>
      <c r="AE142" s="19"/>
      <c r="AF142" s="20">
        <f>SUMIF('[1]G-Chart'!G:G,[1]Capacity!D142,'[1]G-Chart'!L:L)</f>
        <v>0</v>
      </c>
      <c r="AG142" s="2">
        <f t="shared" si="47"/>
        <v>0</v>
      </c>
      <c r="AH142" s="2">
        <f t="shared" si="48"/>
        <v>0</v>
      </c>
      <c r="AI142" s="2">
        <f t="shared" si="54"/>
        <v>0</v>
      </c>
      <c r="AJ142" s="1">
        <f t="shared" si="49"/>
        <v>0</v>
      </c>
      <c r="AK142" s="1">
        <f t="shared" si="50"/>
        <v>0</v>
      </c>
      <c r="AL142" s="1">
        <f t="shared" si="51"/>
        <v>0</v>
      </c>
      <c r="AM142" s="1">
        <f t="shared" si="55"/>
        <v>0</v>
      </c>
    </row>
    <row r="143" spans="1:39" x14ac:dyDescent="0.3">
      <c r="A143" s="12">
        <v>141</v>
      </c>
      <c r="B143" s="12" t="s">
        <v>259</v>
      </c>
      <c r="C143" s="13" t="s">
        <v>401</v>
      </c>
      <c r="D143" s="13" t="s">
        <v>401</v>
      </c>
      <c r="E143" s="14" t="s">
        <v>402</v>
      </c>
      <c r="F143" s="15">
        <v>0</v>
      </c>
      <c r="G143" s="16">
        <f t="shared" si="52"/>
        <v>3</v>
      </c>
      <c r="H143" s="15"/>
      <c r="I143" s="15">
        <f t="shared" si="40"/>
        <v>0</v>
      </c>
      <c r="J143" s="15">
        <v>2</v>
      </c>
      <c r="K143" s="15">
        <f t="shared" si="53"/>
        <v>0</v>
      </c>
      <c r="L143" s="15">
        <v>1</v>
      </c>
      <c r="M143" s="15">
        <f t="shared" si="41"/>
        <v>0</v>
      </c>
      <c r="N143" s="15"/>
      <c r="O143" s="15">
        <f t="shared" si="42"/>
        <v>0</v>
      </c>
      <c r="P143" s="15"/>
      <c r="Q143" s="15">
        <f t="shared" si="43"/>
        <v>0</v>
      </c>
      <c r="R143" s="15"/>
      <c r="S143" s="15">
        <f t="shared" si="44"/>
        <v>0</v>
      </c>
      <c r="T143" s="15"/>
      <c r="U143" s="15">
        <f t="shared" si="45"/>
        <v>0</v>
      </c>
      <c r="V143" s="15">
        <f t="shared" si="39"/>
        <v>0</v>
      </c>
      <c r="W143" s="17"/>
      <c r="X143" s="17"/>
      <c r="Y143" s="18">
        <v>0.66300000000000003</v>
      </c>
      <c r="Z143" s="1">
        <f t="shared" si="46"/>
        <v>0</v>
      </c>
      <c r="AA143" s="21"/>
      <c r="AC143" s="21"/>
      <c r="AE143" s="19"/>
      <c r="AF143" s="20">
        <f>SUMIF('[1]G-Chart'!G:G,[1]Capacity!D143,'[1]G-Chart'!L:L)</f>
        <v>478</v>
      </c>
      <c r="AG143" s="2">
        <f t="shared" si="47"/>
        <v>956</v>
      </c>
      <c r="AH143" s="2">
        <f t="shared" si="48"/>
        <v>478</v>
      </c>
      <c r="AI143" s="2">
        <f t="shared" si="54"/>
        <v>0</v>
      </c>
      <c r="AJ143" s="1">
        <f t="shared" si="49"/>
        <v>0</v>
      </c>
      <c r="AK143" s="1">
        <f t="shared" si="50"/>
        <v>0</v>
      </c>
      <c r="AL143" s="1">
        <f t="shared" si="51"/>
        <v>0</v>
      </c>
      <c r="AM143" s="1">
        <f t="shared" si="55"/>
        <v>1434</v>
      </c>
    </row>
    <row r="144" spans="1:39" x14ac:dyDescent="0.3">
      <c r="A144" s="12">
        <v>142</v>
      </c>
      <c r="B144" s="12" t="s">
        <v>259</v>
      </c>
      <c r="C144" s="13" t="s">
        <v>403</v>
      </c>
      <c r="D144" s="13" t="s">
        <v>403</v>
      </c>
      <c r="E144" s="14" t="s">
        <v>404</v>
      </c>
      <c r="F144" s="15">
        <f>AD144</f>
        <v>0</v>
      </c>
      <c r="G144" s="16">
        <f t="shared" si="52"/>
        <v>2</v>
      </c>
      <c r="H144" s="15"/>
      <c r="I144" s="15">
        <f t="shared" si="40"/>
        <v>0</v>
      </c>
      <c r="J144" s="15"/>
      <c r="K144" s="15">
        <f t="shared" si="53"/>
        <v>0</v>
      </c>
      <c r="L144" s="15"/>
      <c r="M144" s="15">
        <f t="shared" si="41"/>
        <v>0</v>
      </c>
      <c r="N144" s="15"/>
      <c r="O144" s="15">
        <f t="shared" si="42"/>
        <v>0</v>
      </c>
      <c r="P144" s="15"/>
      <c r="Q144" s="15">
        <f t="shared" si="43"/>
        <v>0</v>
      </c>
      <c r="R144" s="15"/>
      <c r="S144" s="15">
        <f t="shared" si="44"/>
        <v>0</v>
      </c>
      <c r="T144" s="15">
        <v>2</v>
      </c>
      <c r="U144" s="15">
        <f t="shared" si="45"/>
        <v>0</v>
      </c>
      <c r="V144" s="15">
        <f t="shared" si="39"/>
        <v>0</v>
      </c>
      <c r="W144" s="17"/>
      <c r="X144" s="17"/>
      <c r="Y144" s="18">
        <v>8.0000000000000002E-3</v>
      </c>
      <c r="Z144" s="1">
        <f t="shared" si="46"/>
        <v>0</v>
      </c>
      <c r="AA144" s="21"/>
      <c r="AC144" s="30"/>
      <c r="AD144" s="21"/>
      <c r="AE144" s="46"/>
      <c r="AF144" s="20">
        <f>SUMIF('[1]G-Chart'!G:G,[1]Capacity!D144,'[1]G-Chart'!L:L)</f>
        <v>0</v>
      </c>
      <c r="AG144" s="2">
        <f t="shared" si="47"/>
        <v>0</v>
      </c>
      <c r="AH144" s="2">
        <f t="shared" si="48"/>
        <v>0</v>
      </c>
      <c r="AI144" s="2">
        <f t="shared" si="54"/>
        <v>0</v>
      </c>
      <c r="AJ144" s="1">
        <f t="shared" si="49"/>
        <v>0</v>
      </c>
      <c r="AK144" s="1">
        <f t="shared" si="50"/>
        <v>0</v>
      </c>
      <c r="AL144" s="1">
        <f t="shared" si="51"/>
        <v>0</v>
      </c>
      <c r="AM144" s="1">
        <f t="shared" si="55"/>
        <v>0</v>
      </c>
    </row>
    <row r="145" spans="1:39" x14ac:dyDescent="0.3">
      <c r="A145" s="12">
        <v>143</v>
      </c>
      <c r="B145" s="12" t="s">
        <v>259</v>
      </c>
      <c r="C145" s="13" t="s">
        <v>405</v>
      </c>
      <c r="D145" s="23" t="s">
        <v>405</v>
      </c>
      <c r="E145" s="14" t="s">
        <v>406</v>
      </c>
      <c r="F145" s="15">
        <v>0</v>
      </c>
      <c r="G145" s="16">
        <f t="shared" si="52"/>
        <v>3</v>
      </c>
      <c r="H145" s="15"/>
      <c r="I145" s="15">
        <f t="shared" si="40"/>
        <v>0</v>
      </c>
      <c r="J145" s="15"/>
      <c r="K145" s="15">
        <f t="shared" si="53"/>
        <v>0</v>
      </c>
      <c r="L145" s="15"/>
      <c r="M145" s="15">
        <f t="shared" si="41"/>
        <v>0</v>
      </c>
      <c r="N145" s="15"/>
      <c r="O145" s="15">
        <f t="shared" si="42"/>
        <v>0</v>
      </c>
      <c r="P145" s="15"/>
      <c r="Q145" s="15">
        <f t="shared" si="43"/>
        <v>0</v>
      </c>
      <c r="R145" s="15"/>
      <c r="S145" s="15">
        <f t="shared" si="44"/>
        <v>0</v>
      </c>
      <c r="T145" s="15">
        <v>3</v>
      </c>
      <c r="U145" s="15">
        <f t="shared" si="45"/>
        <v>0</v>
      </c>
      <c r="V145" s="15">
        <f t="shared" si="39"/>
        <v>0</v>
      </c>
      <c r="W145" s="17"/>
      <c r="X145" s="17"/>
      <c r="Y145" s="18">
        <v>2.3E-2</v>
      </c>
      <c r="Z145" s="1">
        <f t="shared" si="46"/>
        <v>0</v>
      </c>
      <c r="AA145" s="21"/>
      <c r="AC145" s="21"/>
      <c r="AE145" s="19"/>
      <c r="AF145" s="20">
        <f>SUMIF('[1]G-Chart'!G:G,[1]Capacity!D145,'[1]G-Chart'!L:L)</f>
        <v>0</v>
      </c>
      <c r="AG145" s="2">
        <f t="shared" si="47"/>
        <v>0</v>
      </c>
      <c r="AH145" s="2">
        <f t="shared" si="48"/>
        <v>0</v>
      </c>
      <c r="AI145" s="2">
        <f t="shared" si="54"/>
        <v>0</v>
      </c>
      <c r="AJ145" s="1">
        <f t="shared" si="49"/>
        <v>0</v>
      </c>
      <c r="AK145" s="1">
        <f t="shared" si="50"/>
        <v>0</v>
      </c>
      <c r="AL145" s="1">
        <f t="shared" si="51"/>
        <v>0</v>
      </c>
      <c r="AM145" s="1">
        <f t="shared" si="55"/>
        <v>0</v>
      </c>
    </row>
    <row r="146" spans="1:39" x14ac:dyDescent="0.3">
      <c r="A146" s="12">
        <v>144</v>
      </c>
      <c r="B146" s="12" t="s">
        <v>259</v>
      </c>
      <c r="C146" s="13" t="s">
        <v>407</v>
      </c>
      <c r="D146" s="23" t="s">
        <v>407</v>
      </c>
      <c r="E146" s="14"/>
      <c r="F146" s="15">
        <v>0</v>
      </c>
      <c r="G146" s="16">
        <f t="shared" si="52"/>
        <v>0</v>
      </c>
      <c r="H146" s="15"/>
      <c r="I146" s="15">
        <f t="shared" si="40"/>
        <v>0</v>
      </c>
      <c r="J146" s="15"/>
      <c r="K146" s="15">
        <f t="shared" si="53"/>
        <v>0</v>
      </c>
      <c r="L146" s="15"/>
      <c r="M146" s="15">
        <f t="shared" si="41"/>
        <v>0</v>
      </c>
      <c r="N146" s="15"/>
      <c r="O146" s="15">
        <f t="shared" si="42"/>
        <v>0</v>
      </c>
      <c r="P146" s="15"/>
      <c r="Q146" s="15">
        <f t="shared" si="43"/>
        <v>0</v>
      </c>
      <c r="R146" s="15"/>
      <c r="S146" s="15">
        <f t="shared" si="44"/>
        <v>0</v>
      </c>
      <c r="T146" s="15"/>
      <c r="U146" s="15">
        <f t="shared" si="45"/>
        <v>0</v>
      </c>
      <c r="V146" s="15">
        <f t="shared" si="39"/>
        <v>0</v>
      </c>
      <c r="W146" s="17"/>
      <c r="X146" s="17"/>
      <c r="Y146" s="18">
        <v>2.7E-2</v>
      </c>
      <c r="Z146" s="1">
        <f t="shared" si="46"/>
        <v>0</v>
      </c>
      <c r="AA146" s="21"/>
      <c r="AC146" s="21"/>
      <c r="AE146" s="19"/>
      <c r="AF146" s="20">
        <f>SUMIF('[1]G-Chart'!G:G,[1]Capacity!D146,'[1]G-Chart'!L:L)</f>
        <v>0</v>
      </c>
      <c r="AG146" s="2">
        <f t="shared" si="47"/>
        <v>0</v>
      </c>
      <c r="AH146" s="2">
        <f t="shared" si="48"/>
        <v>0</v>
      </c>
      <c r="AI146" s="2">
        <f t="shared" si="54"/>
        <v>0</v>
      </c>
      <c r="AJ146" s="1">
        <f t="shared" si="49"/>
        <v>0</v>
      </c>
      <c r="AK146" s="1">
        <f t="shared" si="50"/>
        <v>0</v>
      </c>
      <c r="AL146" s="1">
        <f t="shared" si="51"/>
        <v>0</v>
      </c>
      <c r="AM146" s="1">
        <f t="shared" si="55"/>
        <v>0</v>
      </c>
    </row>
    <row r="147" spans="1:39" x14ac:dyDescent="0.3">
      <c r="A147" s="12">
        <v>145</v>
      </c>
      <c r="B147" s="12" t="s">
        <v>259</v>
      </c>
      <c r="C147" s="13" t="s">
        <v>408</v>
      </c>
      <c r="D147" s="23" t="s">
        <v>408</v>
      </c>
      <c r="E147" s="14"/>
      <c r="F147" s="15">
        <v>0</v>
      </c>
      <c r="G147" s="16">
        <f t="shared" si="52"/>
        <v>0</v>
      </c>
      <c r="H147" s="15"/>
      <c r="I147" s="15">
        <f t="shared" si="40"/>
        <v>0</v>
      </c>
      <c r="J147" s="15"/>
      <c r="K147" s="15">
        <f t="shared" si="53"/>
        <v>0</v>
      </c>
      <c r="L147" s="15"/>
      <c r="M147" s="15">
        <f t="shared" si="41"/>
        <v>0</v>
      </c>
      <c r="N147" s="15"/>
      <c r="O147" s="15">
        <f t="shared" si="42"/>
        <v>0</v>
      </c>
      <c r="P147" s="15"/>
      <c r="Q147" s="15">
        <f t="shared" si="43"/>
        <v>0</v>
      </c>
      <c r="R147" s="15"/>
      <c r="S147" s="15">
        <f t="shared" si="44"/>
        <v>0</v>
      </c>
      <c r="T147" s="15"/>
      <c r="U147" s="15">
        <f t="shared" si="45"/>
        <v>0</v>
      </c>
      <c r="V147" s="15">
        <f t="shared" si="39"/>
        <v>0</v>
      </c>
      <c r="W147" s="17"/>
      <c r="X147" s="17"/>
      <c r="Y147" s="18">
        <v>1.6E-2</v>
      </c>
      <c r="Z147" s="1">
        <f t="shared" si="46"/>
        <v>0</v>
      </c>
      <c r="AA147" s="21"/>
      <c r="AC147" s="21"/>
      <c r="AE147" s="19"/>
      <c r="AF147" s="20">
        <f>SUMIF('[1]G-Chart'!G:G,[1]Capacity!D147,'[1]G-Chart'!L:L)</f>
        <v>0</v>
      </c>
      <c r="AG147" s="2">
        <f t="shared" si="47"/>
        <v>0</v>
      </c>
      <c r="AH147" s="2">
        <f t="shared" si="48"/>
        <v>0</v>
      </c>
      <c r="AI147" s="2">
        <f t="shared" si="54"/>
        <v>0</v>
      </c>
      <c r="AJ147" s="1">
        <f t="shared" si="49"/>
        <v>0</v>
      </c>
      <c r="AK147" s="1">
        <f t="shared" si="50"/>
        <v>0</v>
      </c>
      <c r="AL147" s="1">
        <f t="shared" si="51"/>
        <v>0</v>
      </c>
      <c r="AM147" s="1">
        <f t="shared" si="55"/>
        <v>0</v>
      </c>
    </row>
    <row r="148" spans="1:39" x14ac:dyDescent="0.3">
      <c r="A148" s="12">
        <v>146</v>
      </c>
      <c r="B148" s="12" t="s">
        <v>236</v>
      </c>
      <c r="C148" s="13" t="s">
        <v>409</v>
      </c>
      <c r="D148" s="13" t="s">
        <v>410</v>
      </c>
      <c r="E148" s="14" t="s">
        <v>411</v>
      </c>
      <c r="F148" s="15">
        <v>0</v>
      </c>
      <c r="G148" s="16">
        <f t="shared" si="52"/>
        <v>1</v>
      </c>
      <c r="H148" s="15"/>
      <c r="I148" s="15">
        <f t="shared" si="40"/>
        <v>0</v>
      </c>
      <c r="J148" s="15"/>
      <c r="K148" s="15">
        <f t="shared" si="53"/>
        <v>0</v>
      </c>
      <c r="L148" s="15"/>
      <c r="M148" s="15">
        <f t="shared" si="41"/>
        <v>0</v>
      </c>
      <c r="N148" s="15"/>
      <c r="O148" s="15">
        <f t="shared" si="42"/>
        <v>0</v>
      </c>
      <c r="P148" s="15"/>
      <c r="Q148" s="15">
        <f t="shared" si="43"/>
        <v>0</v>
      </c>
      <c r="R148" s="15"/>
      <c r="S148" s="15">
        <f t="shared" si="44"/>
        <v>0</v>
      </c>
      <c r="T148" s="15">
        <v>1</v>
      </c>
      <c r="U148" s="15">
        <f t="shared" si="45"/>
        <v>0</v>
      </c>
      <c r="V148" s="15">
        <f t="shared" si="39"/>
        <v>0</v>
      </c>
      <c r="W148" s="17"/>
      <c r="X148" s="17"/>
      <c r="Y148" s="18"/>
      <c r="Z148" s="1">
        <f t="shared" si="46"/>
        <v>0</v>
      </c>
      <c r="AA148" s="21"/>
      <c r="AC148" s="21"/>
      <c r="AE148" s="19"/>
      <c r="AF148" s="20">
        <f>SUMIF('[1]G-Chart'!G:G,[1]Capacity!D148,'[1]G-Chart'!L:L)</f>
        <v>0</v>
      </c>
      <c r="AG148" s="2">
        <f t="shared" si="47"/>
        <v>0</v>
      </c>
      <c r="AH148" s="2">
        <f t="shared" si="48"/>
        <v>0</v>
      </c>
      <c r="AI148" s="2">
        <f t="shared" si="54"/>
        <v>0</v>
      </c>
      <c r="AJ148" s="1">
        <f t="shared" si="49"/>
        <v>0</v>
      </c>
      <c r="AK148" s="1">
        <f t="shared" si="50"/>
        <v>0</v>
      </c>
      <c r="AL148" s="1">
        <f t="shared" si="51"/>
        <v>0</v>
      </c>
      <c r="AM148" s="1">
        <f t="shared" si="55"/>
        <v>0</v>
      </c>
    </row>
    <row r="149" spans="1:39" x14ac:dyDescent="0.3">
      <c r="A149" s="12">
        <v>147</v>
      </c>
      <c r="B149" s="12" t="s">
        <v>259</v>
      </c>
      <c r="C149" s="13" t="s">
        <v>412</v>
      </c>
      <c r="D149" s="13" t="s">
        <v>412</v>
      </c>
      <c r="E149" s="14"/>
      <c r="F149" s="15">
        <v>0</v>
      </c>
      <c r="G149" s="16">
        <f t="shared" si="52"/>
        <v>0</v>
      </c>
      <c r="H149" s="15"/>
      <c r="I149" s="15">
        <f t="shared" si="40"/>
        <v>0</v>
      </c>
      <c r="J149" s="15"/>
      <c r="K149" s="15">
        <f t="shared" si="53"/>
        <v>0</v>
      </c>
      <c r="L149" s="15"/>
      <c r="M149" s="15">
        <f t="shared" si="41"/>
        <v>0</v>
      </c>
      <c r="N149" s="15"/>
      <c r="O149" s="15">
        <f t="shared" si="42"/>
        <v>0</v>
      </c>
      <c r="P149" s="15"/>
      <c r="Q149" s="15">
        <f t="shared" si="43"/>
        <v>0</v>
      </c>
      <c r="R149" s="15"/>
      <c r="S149" s="15">
        <f t="shared" si="44"/>
        <v>0</v>
      </c>
      <c r="T149" s="15"/>
      <c r="U149" s="15">
        <f t="shared" si="45"/>
        <v>0</v>
      </c>
      <c r="V149" s="15">
        <f t="shared" si="39"/>
        <v>0</v>
      </c>
      <c r="W149" s="17"/>
      <c r="X149" s="17"/>
      <c r="Y149" s="18">
        <v>0.45500000000000002</v>
      </c>
      <c r="Z149" s="1">
        <f t="shared" si="46"/>
        <v>0</v>
      </c>
      <c r="AA149" s="21"/>
      <c r="AC149" s="21"/>
      <c r="AE149" s="19"/>
      <c r="AF149" s="20">
        <f>SUMIF('[1]G-Chart'!G:G,[1]Capacity!D149,'[1]G-Chart'!L:L)</f>
        <v>16</v>
      </c>
      <c r="AG149" s="2">
        <f t="shared" si="47"/>
        <v>0</v>
      </c>
      <c r="AH149" s="2">
        <f t="shared" si="48"/>
        <v>0</v>
      </c>
      <c r="AI149" s="2">
        <f t="shared" si="54"/>
        <v>0</v>
      </c>
      <c r="AJ149" s="1">
        <f t="shared" si="49"/>
        <v>0</v>
      </c>
      <c r="AK149" s="1">
        <f t="shared" si="50"/>
        <v>0</v>
      </c>
      <c r="AL149" s="1">
        <f t="shared" si="51"/>
        <v>0</v>
      </c>
      <c r="AM149" s="1">
        <f t="shared" si="55"/>
        <v>0</v>
      </c>
    </row>
    <row r="150" spans="1:39" x14ac:dyDescent="0.3">
      <c r="A150" s="12">
        <v>148</v>
      </c>
      <c r="B150" s="12" t="s">
        <v>259</v>
      </c>
      <c r="C150" s="13" t="s">
        <v>413</v>
      </c>
      <c r="D150" s="13" t="s">
        <v>413</v>
      </c>
      <c r="E150" s="14"/>
      <c r="F150" s="15">
        <v>0</v>
      </c>
      <c r="G150" s="16">
        <f t="shared" si="52"/>
        <v>0</v>
      </c>
      <c r="H150" s="15"/>
      <c r="I150" s="15">
        <f t="shared" si="40"/>
        <v>0</v>
      </c>
      <c r="J150" s="15"/>
      <c r="K150" s="15">
        <f t="shared" si="53"/>
        <v>0</v>
      </c>
      <c r="L150" s="15"/>
      <c r="M150" s="15">
        <f t="shared" si="41"/>
        <v>0</v>
      </c>
      <c r="N150" s="15"/>
      <c r="O150" s="15">
        <f t="shared" si="42"/>
        <v>0</v>
      </c>
      <c r="P150" s="15"/>
      <c r="Q150" s="15">
        <f t="shared" si="43"/>
        <v>0</v>
      </c>
      <c r="R150" s="15"/>
      <c r="S150" s="15">
        <f t="shared" si="44"/>
        <v>0</v>
      </c>
      <c r="T150" s="15"/>
      <c r="U150" s="15">
        <f t="shared" si="45"/>
        <v>0</v>
      </c>
      <c r="V150" s="15">
        <f t="shared" si="39"/>
        <v>0</v>
      </c>
      <c r="W150" s="17"/>
      <c r="X150" s="17"/>
      <c r="Y150" s="18">
        <v>0.44600000000000001</v>
      </c>
      <c r="Z150" s="1">
        <f t="shared" si="46"/>
        <v>0</v>
      </c>
      <c r="AA150" s="21"/>
      <c r="AC150" s="21"/>
      <c r="AE150" s="19"/>
      <c r="AF150" s="20">
        <f>SUMIF('[1]G-Chart'!G:G,[1]Capacity!D150,'[1]G-Chart'!L:L)</f>
        <v>82</v>
      </c>
      <c r="AG150" s="2">
        <f t="shared" si="47"/>
        <v>0</v>
      </c>
      <c r="AH150" s="2">
        <f t="shared" si="48"/>
        <v>0</v>
      </c>
      <c r="AI150" s="2">
        <f t="shared" si="54"/>
        <v>0</v>
      </c>
      <c r="AJ150" s="1">
        <f t="shared" si="49"/>
        <v>0</v>
      </c>
      <c r="AK150" s="1">
        <f t="shared" si="50"/>
        <v>0</v>
      </c>
      <c r="AL150" s="1">
        <f t="shared" si="51"/>
        <v>0</v>
      </c>
      <c r="AM150" s="1">
        <f t="shared" si="55"/>
        <v>0</v>
      </c>
    </row>
    <row r="151" spans="1:39" x14ac:dyDescent="0.3">
      <c r="A151" s="12">
        <v>149</v>
      </c>
      <c r="B151" s="12" t="s">
        <v>259</v>
      </c>
      <c r="C151" s="13" t="s">
        <v>414</v>
      </c>
      <c r="D151" s="13" t="s">
        <v>414</v>
      </c>
      <c r="E151" s="14" t="s">
        <v>415</v>
      </c>
      <c r="F151" s="15">
        <v>0</v>
      </c>
      <c r="G151" s="16">
        <f t="shared" si="52"/>
        <v>2.5</v>
      </c>
      <c r="H151" s="15"/>
      <c r="I151" s="15">
        <f t="shared" si="40"/>
        <v>0</v>
      </c>
      <c r="J151" s="15"/>
      <c r="K151" s="15">
        <f t="shared" si="53"/>
        <v>0</v>
      </c>
      <c r="L151" s="15"/>
      <c r="M151" s="15">
        <f t="shared" si="41"/>
        <v>0</v>
      </c>
      <c r="N151" s="15"/>
      <c r="O151" s="15">
        <f t="shared" si="42"/>
        <v>0</v>
      </c>
      <c r="P151" s="15"/>
      <c r="Q151" s="15">
        <f t="shared" si="43"/>
        <v>0</v>
      </c>
      <c r="R151" s="15">
        <v>1</v>
      </c>
      <c r="S151" s="15">
        <f t="shared" si="44"/>
        <v>0</v>
      </c>
      <c r="T151" s="15">
        <v>1.5</v>
      </c>
      <c r="U151" s="15">
        <f t="shared" si="45"/>
        <v>0</v>
      </c>
      <c r="V151" s="15">
        <f t="shared" si="39"/>
        <v>0</v>
      </c>
      <c r="W151" s="17"/>
      <c r="X151" s="17"/>
      <c r="Y151" s="18">
        <v>0.72</v>
      </c>
      <c r="Z151" s="1">
        <f t="shared" si="46"/>
        <v>0</v>
      </c>
      <c r="AA151" s="21"/>
      <c r="AC151" s="21"/>
      <c r="AE151" s="19"/>
      <c r="AF151" s="20">
        <f>SUMIF('[1]G-Chart'!G:G,[1]Capacity!D151,'[1]G-Chart'!L:L)</f>
        <v>0</v>
      </c>
      <c r="AG151" s="2">
        <f t="shared" si="47"/>
        <v>0</v>
      </c>
      <c r="AH151" s="2">
        <f t="shared" si="48"/>
        <v>0</v>
      </c>
      <c r="AI151" s="2">
        <f t="shared" si="54"/>
        <v>0</v>
      </c>
      <c r="AJ151" s="1">
        <f t="shared" si="49"/>
        <v>0</v>
      </c>
      <c r="AK151" s="1">
        <f t="shared" si="50"/>
        <v>0</v>
      </c>
      <c r="AL151" s="1">
        <f t="shared" si="51"/>
        <v>0</v>
      </c>
      <c r="AM151" s="1">
        <f t="shared" si="55"/>
        <v>0</v>
      </c>
    </row>
    <row r="152" spans="1:39" x14ac:dyDescent="0.3">
      <c r="A152" s="12">
        <v>150</v>
      </c>
      <c r="B152" s="12" t="s">
        <v>259</v>
      </c>
      <c r="C152" s="13" t="s">
        <v>416</v>
      </c>
      <c r="D152" s="13" t="s">
        <v>416</v>
      </c>
      <c r="E152" s="14" t="s">
        <v>417</v>
      </c>
      <c r="F152" s="15">
        <v>0</v>
      </c>
      <c r="G152" s="16">
        <f t="shared" si="52"/>
        <v>2.5</v>
      </c>
      <c r="H152" s="15"/>
      <c r="I152" s="15">
        <f t="shared" si="40"/>
        <v>0</v>
      </c>
      <c r="J152" s="15"/>
      <c r="K152" s="15">
        <f t="shared" si="53"/>
        <v>0</v>
      </c>
      <c r="L152" s="15"/>
      <c r="M152" s="15">
        <f t="shared" si="41"/>
        <v>0</v>
      </c>
      <c r="N152" s="15"/>
      <c r="O152" s="15">
        <f t="shared" si="42"/>
        <v>0</v>
      </c>
      <c r="P152" s="15"/>
      <c r="Q152" s="15">
        <f t="shared" si="43"/>
        <v>0</v>
      </c>
      <c r="R152" s="15">
        <v>1</v>
      </c>
      <c r="S152" s="15">
        <f t="shared" si="44"/>
        <v>0</v>
      </c>
      <c r="T152" s="15">
        <v>1.5</v>
      </c>
      <c r="U152" s="15">
        <f t="shared" si="45"/>
        <v>0</v>
      </c>
      <c r="V152" s="15">
        <f t="shared" si="39"/>
        <v>0</v>
      </c>
      <c r="W152" s="17"/>
      <c r="X152" s="17"/>
      <c r="Y152" s="18">
        <v>0.745</v>
      </c>
      <c r="Z152" s="1">
        <f t="shared" si="46"/>
        <v>0</v>
      </c>
      <c r="AA152" s="21"/>
      <c r="AC152" s="21"/>
      <c r="AE152" s="19"/>
      <c r="AF152" s="20">
        <f>SUMIF('[1]G-Chart'!G:G,[1]Capacity!D152,'[1]G-Chart'!L:L)</f>
        <v>0</v>
      </c>
      <c r="AG152" s="2">
        <f t="shared" si="47"/>
        <v>0</v>
      </c>
      <c r="AH152" s="2">
        <f t="shared" si="48"/>
        <v>0</v>
      </c>
      <c r="AI152" s="2">
        <f t="shared" si="54"/>
        <v>0</v>
      </c>
      <c r="AJ152" s="1">
        <f t="shared" si="49"/>
        <v>0</v>
      </c>
      <c r="AK152" s="1">
        <f t="shared" si="50"/>
        <v>0</v>
      </c>
      <c r="AL152" s="1">
        <f t="shared" si="51"/>
        <v>0</v>
      </c>
      <c r="AM152" s="1">
        <f t="shared" si="55"/>
        <v>0</v>
      </c>
    </row>
    <row r="153" spans="1:39" x14ac:dyDescent="0.3">
      <c r="A153" s="12">
        <v>151</v>
      </c>
      <c r="B153" s="12" t="s">
        <v>236</v>
      </c>
      <c r="C153" s="13" t="s">
        <v>418</v>
      </c>
      <c r="D153" s="13" t="s">
        <v>419</v>
      </c>
      <c r="E153" s="14"/>
      <c r="F153" s="15">
        <v>0</v>
      </c>
      <c r="G153" s="16">
        <f t="shared" si="52"/>
        <v>0</v>
      </c>
      <c r="H153" s="15"/>
      <c r="I153" s="15">
        <f t="shared" si="40"/>
        <v>0</v>
      </c>
      <c r="J153" s="15"/>
      <c r="K153" s="15">
        <f t="shared" si="53"/>
        <v>0</v>
      </c>
      <c r="L153" s="15"/>
      <c r="M153" s="15">
        <f t="shared" si="41"/>
        <v>0</v>
      </c>
      <c r="N153" s="15"/>
      <c r="O153" s="15">
        <f t="shared" si="42"/>
        <v>0</v>
      </c>
      <c r="P153" s="15"/>
      <c r="Q153" s="15">
        <f t="shared" si="43"/>
        <v>0</v>
      </c>
      <c r="R153" s="15"/>
      <c r="S153" s="15">
        <f t="shared" si="44"/>
        <v>0</v>
      </c>
      <c r="T153" s="15"/>
      <c r="U153" s="15">
        <f t="shared" si="45"/>
        <v>0</v>
      </c>
      <c r="V153" s="15">
        <f t="shared" si="39"/>
        <v>0</v>
      </c>
      <c r="W153" s="17"/>
      <c r="X153" s="17"/>
      <c r="Y153" s="18">
        <v>9.5</v>
      </c>
      <c r="Z153" s="1">
        <f t="shared" si="46"/>
        <v>0</v>
      </c>
      <c r="AA153" s="21"/>
      <c r="AC153" s="21"/>
      <c r="AE153" s="19"/>
      <c r="AF153" s="20">
        <f>SUMIF('[1]G-Chart'!G:G,[1]Capacity!D153,'[1]G-Chart'!L:L)</f>
        <v>0</v>
      </c>
      <c r="AG153" s="2">
        <f t="shared" si="47"/>
        <v>0</v>
      </c>
      <c r="AH153" s="2">
        <f t="shared" si="48"/>
        <v>0</v>
      </c>
      <c r="AI153" s="2">
        <f t="shared" si="54"/>
        <v>0</v>
      </c>
      <c r="AJ153" s="1">
        <f t="shared" si="49"/>
        <v>0</v>
      </c>
      <c r="AK153" s="1">
        <f t="shared" si="50"/>
        <v>0</v>
      </c>
      <c r="AL153" s="1">
        <f t="shared" si="51"/>
        <v>0</v>
      </c>
      <c r="AM153" s="1">
        <f t="shared" si="55"/>
        <v>0</v>
      </c>
    </row>
    <row r="154" spans="1:39" x14ac:dyDescent="0.3">
      <c r="A154" s="12">
        <v>152</v>
      </c>
      <c r="B154" s="12" t="s">
        <v>26</v>
      </c>
      <c r="C154" s="13" t="s">
        <v>420</v>
      </c>
      <c r="D154" s="13" t="s">
        <v>421</v>
      </c>
      <c r="E154" s="14" t="s">
        <v>422</v>
      </c>
      <c r="F154" s="15">
        <v>0</v>
      </c>
      <c r="G154" s="16">
        <f t="shared" si="52"/>
        <v>0</v>
      </c>
      <c r="H154" s="15"/>
      <c r="I154" s="15">
        <f t="shared" si="40"/>
        <v>0</v>
      </c>
      <c r="J154" s="15"/>
      <c r="K154" s="15">
        <f t="shared" si="53"/>
        <v>0</v>
      </c>
      <c r="L154" s="15"/>
      <c r="M154" s="15">
        <f t="shared" si="41"/>
        <v>0</v>
      </c>
      <c r="N154" s="15"/>
      <c r="O154" s="15">
        <f t="shared" si="42"/>
        <v>0</v>
      </c>
      <c r="P154" s="15"/>
      <c r="Q154" s="15">
        <f t="shared" si="43"/>
        <v>0</v>
      </c>
      <c r="R154" s="15"/>
      <c r="S154" s="15">
        <f t="shared" si="44"/>
        <v>0</v>
      </c>
      <c r="T154" s="15"/>
      <c r="U154" s="15">
        <f t="shared" si="45"/>
        <v>0</v>
      </c>
      <c r="V154" s="15">
        <f t="shared" si="39"/>
        <v>0</v>
      </c>
      <c r="W154" s="17"/>
      <c r="X154" s="17"/>
      <c r="Y154" s="18">
        <v>0.55000000000000004</v>
      </c>
      <c r="Z154" s="1">
        <f t="shared" si="46"/>
        <v>0</v>
      </c>
      <c r="AA154" s="21"/>
      <c r="AC154" s="21"/>
      <c r="AE154" s="19"/>
      <c r="AF154" s="20">
        <f>SUMIF('[1]G-Chart'!G:G,[1]Capacity!D154,'[1]G-Chart'!L:L)</f>
        <v>687</v>
      </c>
      <c r="AG154" s="2">
        <f t="shared" si="47"/>
        <v>0</v>
      </c>
      <c r="AH154" s="2">
        <f t="shared" si="48"/>
        <v>0</v>
      </c>
      <c r="AI154" s="2">
        <f t="shared" si="54"/>
        <v>0</v>
      </c>
      <c r="AJ154" s="1">
        <f t="shared" si="49"/>
        <v>0</v>
      </c>
      <c r="AK154" s="1">
        <f t="shared" si="50"/>
        <v>0</v>
      </c>
      <c r="AL154" s="1">
        <f t="shared" si="51"/>
        <v>0</v>
      </c>
      <c r="AM154" s="1">
        <f t="shared" si="55"/>
        <v>0</v>
      </c>
    </row>
    <row r="155" spans="1:39" x14ac:dyDescent="0.3">
      <c r="A155" s="12">
        <v>153</v>
      </c>
      <c r="B155" s="12" t="s">
        <v>26</v>
      </c>
      <c r="C155" s="13" t="s">
        <v>423</v>
      </c>
      <c r="D155" s="13" t="s">
        <v>424</v>
      </c>
      <c r="E155" s="14" t="s">
        <v>425</v>
      </c>
      <c r="F155" s="15">
        <v>0</v>
      </c>
      <c r="G155" s="16">
        <f t="shared" si="52"/>
        <v>0</v>
      </c>
      <c r="H155" s="15"/>
      <c r="I155" s="15">
        <f t="shared" si="40"/>
        <v>0</v>
      </c>
      <c r="J155" s="15"/>
      <c r="K155" s="15">
        <f t="shared" si="53"/>
        <v>0</v>
      </c>
      <c r="L155" s="15"/>
      <c r="M155" s="15">
        <f t="shared" si="41"/>
        <v>0</v>
      </c>
      <c r="N155" s="15"/>
      <c r="O155" s="15">
        <f t="shared" si="42"/>
        <v>0</v>
      </c>
      <c r="P155" s="15"/>
      <c r="Q155" s="15">
        <f t="shared" si="43"/>
        <v>0</v>
      </c>
      <c r="R155" s="15"/>
      <c r="S155" s="15">
        <f t="shared" si="44"/>
        <v>0</v>
      </c>
      <c r="T155" s="15"/>
      <c r="U155" s="15">
        <f t="shared" si="45"/>
        <v>0</v>
      </c>
      <c r="V155" s="15">
        <f t="shared" si="39"/>
        <v>0</v>
      </c>
      <c r="W155" s="17"/>
      <c r="X155" s="17"/>
      <c r="Y155" s="18">
        <v>0.55000000000000004</v>
      </c>
      <c r="Z155" s="1">
        <f t="shared" si="46"/>
        <v>0</v>
      </c>
      <c r="AA155" s="21"/>
      <c r="AC155" s="21"/>
      <c r="AE155" s="19"/>
      <c r="AF155" s="20">
        <f>SUMIF('[1]G-Chart'!G:G,[1]Capacity!D155,'[1]G-Chart'!L:L)</f>
        <v>558</v>
      </c>
      <c r="AG155" s="2">
        <f t="shared" si="47"/>
        <v>0</v>
      </c>
      <c r="AH155" s="2">
        <f t="shared" si="48"/>
        <v>0</v>
      </c>
      <c r="AI155" s="2">
        <f t="shared" si="54"/>
        <v>0</v>
      </c>
      <c r="AJ155" s="1">
        <f t="shared" si="49"/>
        <v>0</v>
      </c>
      <c r="AK155" s="1">
        <f t="shared" si="50"/>
        <v>0</v>
      </c>
      <c r="AL155" s="1">
        <f t="shared" si="51"/>
        <v>0</v>
      </c>
      <c r="AM155" s="1">
        <f t="shared" si="55"/>
        <v>0</v>
      </c>
    </row>
    <row r="156" spans="1:39" x14ac:dyDescent="0.3">
      <c r="A156" s="12">
        <v>154</v>
      </c>
      <c r="B156" s="12" t="s">
        <v>426</v>
      </c>
      <c r="C156" s="13" t="s">
        <v>427</v>
      </c>
      <c r="D156" s="13" t="s">
        <v>428</v>
      </c>
      <c r="E156" s="14" t="s">
        <v>429</v>
      </c>
      <c r="F156" s="15">
        <f>AB156</f>
        <v>0</v>
      </c>
      <c r="G156" s="16">
        <f t="shared" si="52"/>
        <v>0</v>
      </c>
      <c r="H156" s="15"/>
      <c r="I156" s="15">
        <f t="shared" si="40"/>
        <v>0</v>
      </c>
      <c r="J156" s="15"/>
      <c r="K156" s="15">
        <f t="shared" si="53"/>
        <v>0</v>
      </c>
      <c r="L156" s="15"/>
      <c r="M156" s="15">
        <f t="shared" si="41"/>
        <v>0</v>
      </c>
      <c r="N156" s="15"/>
      <c r="O156" s="15">
        <f t="shared" si="42"/>
        <v>0</v>
      </c>
      <c r="P156" s="15"/>
      <c r="Q156" s="15">
        <f t="shared" si="43"/>
        <v>0</v>
      </c>
      <c r="R156" s="15"/>
      <c r="S156" s="15">
        <f t="shared" si="44"/>
        <v>0</v>
      </c>
      <c r="T156" s="15"/>
      <c r="U156" s="15">
        <f t="shared" si="45"/>
        <v>0</v>
      </c>
      <c r="V156" s="15">
        <f t="shared" si="39"/>
        <v>0</v>
      </c>
      <c r="W156" s="17"/>
      <c r="X156" s="17"/>
      <c r="Y156" s="18">
        <v>3.4</v>
      </c>
      <c r="Z156" s="1">
        <f t="shared" si="46"/>
        <v>0</v>
      </c>
      <c r="AA156" s="21"/>
      <c r="AC156" s="21"/>
      <c r="AE156" s="19"/>
      <c r="AF156" s="20">
        <f>SUMIF('[1]G-Chart'!G:G,[1]Capacity!D156,'[1]G-Chart'!L:L)</f>
        <v>4</v>
      </c>
      <c r="AG156" s="2">
        <f t="shared" si="47"/>
        <v>0</v>
      </c>
      <c r="AH156" s="2">
        <f t="shared" si="48"/>
        <v>0</v>
      </c>
      <c r="AI156" s="2">
        <f t="shared" si="54"/>
        <v>0</v>
      </c>
      <c r="AJ156" s="1">
        <f t="shared" si="49"/>
        <v>0</v>
      </c>
      <c r="AK156" s="1">
        <f t="shared" si="50"/>
        <v>0</v>
      </c>
      <c r="AL156" s="1">
        <f t="shared" si="51"/>
        <v>0</v>
      </c>
      <c r="AM156" s="1">
        <f t="shared" si="55"/>
        <v>0</v>
      </c>
    </row>
    <row r="157" spans="1:39" x14ac:dyDescent="0.3">
      <c r="A157" s="12">
        <v>155</v>
      </c>
      <c r="B157" s="12" t="s">
        <v>426</v>
      </c>
      <c r="C157" s="13" t="s">
        <v>430</v>
      </c>
      <c r="D157" s="13" t="s">
        <v>431</v>
      </c>
      <c r="E157" s="14" t="s">
        <v>432</v>
      </c>
      <c r="F157" s="15">
        <f>AB157</f>
        <v>0</v>
      </c>
      <c r="G157" s="16">
        <f t="shared" si="52"/>
        <v>0</v>
      </c>
      <c r="H157" s="15"/>
      <c r="I157" s="15">
        <f t="shared" si="40"/>
        <v>0</v>
      </c>
      <c r="J157" s="15"/>
      <c r="K157" s="15">
        <f t="shared" si="53"/>
        <v>0</v>
      </c>
      <c r="L157" s="15"/>
      <c r="M157" s="15">
        <f t="shared" si="41"/>
        <v>0</v>
      </c>
      <c r="N157" s="15"/>
      <c r="O157" s="15">
        <f t="shared" si="42"/>
        <v>0</v>
      </c>
      <c r="P157" s="15"/>
      <c r="Q157" s="15">
        <f t="shared" si="43"/>
        <v>0</v>
      </c>
      <c r="R157" s="15"/>
      <c r="S157" s="15">
        <f t="shared" si="44"/>
        <v>0</v>
      </c>
      <c r="T157" s="15"/>
      <c r="U157" s="15">
        <f t="shared" si="45"/>
        <v>0</v>
      </c>
      <c r="V157" s="15">
        <f t="shared" si="39"/>
        <v>0</v>
      </c>
      <c r="W157" s="17"/>
      <c r="X157" s="17"/>
      <c r="Y157" s="18">
        <v>3.4</v>
      </c>
      <c r="Z157" s="1">
        <f t="shared" si="46"/>
        <v>0</v>
      </c>
      <c r="AA157" s="21"/>
      <c r="AC157" s="21"/>
      <c r="AE157" s="19"/>
      <c r="AF157" s="20">
        <f>SUMIF('[1]G-Chart'!G:G,[1]Capacity!D157,'[1]G-Chart'!L:L)</f>
        <v>82</v>
      </c>
      <c r="AG157" s="2">
        <f t="shared" si="47"/>
        <v>0</v>
      </c>
      <c r="AH157" s="2">
        <f t="shared" si="48"/>
        <v>0</v>
      </c>
      <c r="AI157" s="2">
        <f t="shared" si="54"/>
        <v>0</v>
      </c>
      <c r="AJ157" s="1">
        <f t="shared" si="49"/>
        <v>0</v>
      </c>
      <c r="AK157" s="1">
        <f t="shared" si="50"/>
        <v>0</v>
      </c>
      <c r="AL157" s="1">
        <f t="shared" si="51"/>
        <v>0</v>
      </c>
      <c r="AM157" s="1">
        <f t="shared" si="55"/>
        <v>0</v>
      </c>
    </row>
    <row r="158" spans="1:39" x14ac:dyDescent="0.3">
      <c r="A158" s="12">
        <v>156</v>
      </c>
      <c r="B158" s="12" t="s">
        <v>426</v>
      </c>
      <c r="C158" s="13" t="s">
        <v>433</v>
      </c>
      <c r="D158" s="13" t="s">
        <v>434</v>
      </c>
      <c r="E158" s="14" t="s">
        <v>435</v>
      </c>
      <c r="F158" s="15">
        <f>AB158</f>
        <v>0</v>
      </c>
      <c r="G158" s="16">
        <f t="shared" si="52"/>
        <v>0</v>
      </c>
      <c r="H158" s="15"/>
      <c r="I158" s="15">
        <f t="shared" si="40"/>
        <v>0</v>
      </c>
      <c r="J158" s="15"/>
      <c r="K158" s="15">
        <f t="shared" si="53"/>
        <v>0</v>
      </c>
      <c r="L158" s="15"/>
      <c r="M158" s="15">
        <f t="shared" si="41"/>
        <v>0</v>
      </c>
      <c r="N158" s="15"/>
      <c r="O158" s="15">
        <f t="shared" si="42"/>
        <v>0</v>
      </c>
      <c r="P158" s="15"/>
      <c r="Q158" s="15">
        <f t="shared" si="43"/>
        <v>0</v>
      </c>
      <c r="R158" s="15"/>
      <c r="S158" s="15">
        <f t="shared" si="44"/>
        <v>0</v>
      </c>
      <c r="T158" s="15"/>
      <c r="U158" s="15">
        <f t="shared" si="45"/>
        <v>0</v>
      </c>
      <c r="V158" s="15">
        <f t="shared" si="39"/>
        <v>0</v>
      </c>
      <c r="W158" s="17"/>
      <c r="X158" s="17"/>
      <c r="Y158" s="18">
        <v>0.7</v>
      </c>
      <c r="Z158" s="1">
        <f t="shared" si="46"/>
        <v>0</v>
      </c>
      <c r="AA158" s="21"/>
      <c r="AC158" s="21"/>
      <c r="AE158" s="19"/>
      <c r="AF158" s="20">
        <f>SUMIF('[1]G-Chart'!G:G,[1]Capacity!D158,'[1]G-Chart'!L:L)</f>
        <v>53</v>
      </c>
      <c r="AG158" s="2">
        <f t="shared" si="47"/>
        <v>0</v>
      </c>
      <c r="AH158" s="2">
        <f t="shared" si="48"/>
        <v>0</v>
      </c>
      <c r="AI158" s="2">
        <f t="shared" si="54"/>
        <v>0</v>
      </c>
      <c r="AJ158" s="1">
        <f t="shared" si="49"/>
        <v>0</v>
      </c>
      <c r="AK158" s="1">
        <f t="shared" si="50"/>
        <v>0</v>
      </c>
      <c r="AL158" s="1">
        <f t="shared" si="51"/>
        <v>0</v>
      </c>
      <c r="AM158" s="1">
        <f t="shared" si="55"/>
        <v>0</v>
      </c>
    </row>
    <row r="159" spans="1:39" x14ac:dyDescent="0.3">
      <c r="A159" s="12">
        <v>157</v>
      </c>
      <c r="B159" s="12" t="s">
        <v>426</v>
      </c>
      <c r="C159" s="13" t="s">
        <v>436</v>
      </c>
      <c r="D159" s="13" t="s">
        <v>437</v>
      </c>
      <c r="E159" s="14" t="s">
        <v>438</v>
      </c>
      <c r="F159" s="15">
        <f>AB159</f>
        <v>0</v>
      </c>
      <c r="G159" s="16">
        <f t="shared" si="52"/>
        <v>0</v>
      </c>
      <c r="H159" s="15"/>
      <c r="I159" s="15">
        <f t="shared" si="40"/>
        <v>0</v>
      </c>
      <c r="J159" s="15"/>
      <c r="K159" s="15">
        <f t="shared" si="53"/>
        <v>0</v>
      </c>
      <c r="L159" s="15"/>
      <c r="M159" s="15">
        <f t="shared" si="41"/>
        <v>0</v>
      </c>
      <c r="N159" s="15"/>
      <c r="O159" s="15">
        <f t="shared" si="42"/>
        <v>0</v>
      </c>
      <c r="P159" s="15"/>
      <c r="Q159" s="15">
        <f t="shared" si="43"/>
        <v>0</v>
      </c>
      <c r="R159" s="15"/>
      <c r="S159" s="15">
        <f t="shared" si="44"/>
        <v>0</v>
      </c>
      <c r="T159" s="15"/>
      <c r="U159" s="15">
        <f t="shared" si="45"/>
        <v>0</v>
      </c>
      <c r="V159" s="15">
        <f t="shared" si="39"/>
        <v>0</v>
      </c>
      <c r="W159" s="17"/>
      <c r="X159" s="17"/>
      <c r="Y159" s="18">
        <v>0.8</v>
      </c>
      <c r="Z159" s="1">
        <f t="shared" si="46"/>
        <v>0</v>
      </c>
      <c r="AA159" s="21"/>
      <c r="AC159" s="21"/>
      <c r="AE159" s="19"/>
      <c r="AF159" s="20">
        <f>SUMIF('[1]G-Chart'!G:G,[1]Capacity!D159,'[1]G-Chart'!L:L)</f>
        <v>25</v>
      </c>
      <c r="AG159" s="2">
        <f t="shared" si="47"/>
        <v>0</v>
      </c>
      <c r="AH159" s="2">
        <f t="shared" si="48"/>
        <v>0</v>
      </c>
      <c r="AI159" s="2">
        <f t="shared" si="54"/>
        <v>0</v>
      </c>
      <c r="AJ159" s="1">
        <f t="shared" si="49"/>
        <v>0</v>
      </c>
      <c r="AK159" s="1">
        <f t="shared" si="50"/>
        <v>0</v>
      </c>
      <c r="AL159" s="1">
        <f t="shared" si="51"/>
        <v>0</v>
      </c>
      <c r="AM159" s="1">
        <f t="shared" si="55"/>
        <v>0</v>
      </c>
    </row>
    <row r="160" spans="1:39" x14ac:dyDescent="0.3">
      <c r="A160" s="12">
        <v>158</v>
      </c>
      <c r="B160" s="12" t="s">
        <v>171</v>
      </c>
      <c r="C160" s="13" t="s">
        <v>439</v>
      </c>
      <c r="D160" s="13" t="s">
        <v>439</v>
      </c>
      <c r="E160" s="14" t="s">
        <v>440</v>
      </c>
      <c r="F160" s="15">
        <f>AB160</f>
        <v>0</v>
      </c>
      <c r="G160" s="16">
        <f t="shared" si="52"/>
        <v>0</v>
      </c>
      <c r="H160" s="15"/>
      <c r="I160" s="15">
        <f t="shared" si="40"/>
        <v>0</v>
      </c>
      <c r="J160" s="15"/>
      <c r="K160" s="15">
        <f t="shared" si="53"/>
        <v>0</v>
      </c>
      <c r="L160" s="15"/>
      <c r="M160" s="15">
        <f t="shared" si="41"/>
        <v>0</v>
      </c>
      <c r="N160" s="15"/>
      <c r="O160" s="15">
        <f t="shared" si="42"/>
        <v>0</v>
      </c>
      <c r="P160" s="15"/>
      <c r="Q160" s="15">
        <f t="shared" si="43"/>
        <v>0</v>
      </c>
      <c r="R160" s="15"/>
      <c r="S160" s="15">
        <f t="shared" si="44"/>
        <v>0</v>
      </c>
      <c r="T160" s="15"/>
      <c r="U160" s="15">
        <f t="shared" si="45"/>
        <v>0</v>
      </c>
      <c r="V160" s="15">
        <f t="shared" si="39"/>
        <v>0</v>
      </c>
      <c r="W160" s="17"/>
      <c r="X160" s="17"/>
      <c r="Y160" s="18">
        <v>2.5</v>
      </c>
      <c r="Z160" s="1">
        <f t="shared" si="46"/>
        <v>0</v>
      </c>
      <c r="AA160" s="21"/>
      <c r="AB160" s="1">
        <f>AD160*AA160</f>
        <v>0</v>
      </c>
      <c r="AC160" s="21"/>
      <c r="AE160" s="19"/>
      <c r="AF160" s="20">
        <f>SUMIF('[1]G-Chart'!G:G,[1]Capacity!D160,'[1]G-Chart'!L:L)</f>
        <v>589</v>
      </c>
      <c r="AG160" s="2">
        <f t="shared" si="47"/>
        <v>0</v>
      </c>
      <c r="AH160" s="2">
        <f t="shared" si="48"/>
        <v>0</v>
      </c>
      <c r="AI160" s="2">
        <f t="shared" si="54"/>
        <v>0</v>
      </c>
      <c r="AJ160" s="1">
        <f t="shared" si="49"/>
        <v>0</v>
      </c>
      <c r="AK160" s="1">
        <f t="shared" si="50"/>
        <v>0</v>
      </c>
      <c r="AL160" s="1">
        <f t="shared" si="51"/>
        <v>0</v>
      </c>
      <c r="AM160" s="1">
        <f t="shared" si="55"/>
        <v>0</v>
      </c>
    </row>
    <row r="161" spans="1:39" x14ac:dyDescent="0.3">
      <c r="A161" s="12">
        <v>159</v>
      </c>
      <c r="B161" s="12" t="s">
        <v>236</v>
      </c>
      <c r="C161" s="13" t="s">
        <v>441</v>
      </c>
      <c r="D161" s="13" t="s">
        <v>441</v>
      </c>
      <c r="E161" s="14" t="s">
        <v>442</v>
      </c>
      <c r="F161" s="15">
        <v>0</v>
      </c>
      <c r="G161" s="16">
        <f t="shared" si="52"/>
        <v>2</v>
      </c>
      <c r="H161" s="15"/>
      <c r="I161" s="15">
        <f t="shared" si="40"/>
        <v>0</v>
      </c>
      <c r="J161" s="15"/>
      <c r="K161" s="15">
        <f t="shared" si="53"/>
        <v>0</v>
      </c>
      <c r="L161" s="15"/>
      <c r="M161" s="15">
        <f t="shared" si="41"/>
        <v>0</v>
      </c>
      <c r="N161" s="15"/>
      <c r="O161" s="15">
        <f t="shared" si="42"/>
        <v>0</v>
      </c>
      <c r="P161" s="15">
        <v>1</v>
      </c>
      <c r="Q161" s="15">
        <f t="shared" si="43"/>
        <v>0</v>
      </c>
      <c r="R161" s="15"/>
      <c r="S161" s="15">
        <f t="shared" si="44"/>
        <v>0</v>
      </c>
      <c r="T161" s="15">
        <v>1</v>
      </c>
      <c r="U161" s="15">
        <f t="shared" si="45"/>
        <v>0</v>
      </c>
      <c r="V161" s="15">
        <f t="shared" si="39"/>
        <v>0</v>
      </c>
      <c r="W161" s="17"/>
      <c r="X161" s="17"/>
      <c r="Y161" s="18">
        <v>3.4000000000000002E-2</v>
      </c>
      <c r="Z161" s="1">
        <f t="shared" si="46"/>
        <v>0</v>
      </c>
      <c r="AA161" s="21"/>
      <c r="AC161" s="21"/>
      <c r="AE161" s="19"/>
      <c r="AF161" s="20">
        <f>SUMIF('[1]G-Chart'!G:G,[1]Capacity!D161,'[1]G-Chart'!L:L)</f>
        <v>0</v>
      </c>
      <c r="AG161" s="2">
        <f t="shared" si="47"/>
        <v>0</v>
      </c>
      <c r="AH161" s="2">
        <f t="shared" si="48"/>
        <v>0</v>
      </c>
      <c r="AI161" s="2">
        <f t="shared" si="54"/>
        <v>0</v>
      </c>
      <c r="AJ161" s="1">
        <f t="shared" si="49"/>
        <v>0</v>
      </c>
      <c r="AK161" s="1">
        <f t="shared" si="50"/>
        <v>0</v>
      </c>
      <c r="AL161" s="1">
        <f t="shared" si="51"/>
        <v>0</v>
      </c>
      <c r="AM161" s="1">
        <f t="shared" si="55"/>
        <v>0</v>
      </c>
    </row>
    <row r="162" spans="1:39" x14ac:dyDescent="0.3">
      <c r="A162" s="12">
        <v>160</v>
      </c>
      <c r="B162" s="12" t="s">
        <v>236</v>
      </c>
      <c r="C162" s="13" t="s">
        <v>443</v>
      </c>
      <c r="D162" s="13" t="s">
        <v>443</v>
      </c>
      <c r="E162" s="14" t="s">
        <v>444</v>
      </c>
      <c r="F162" s="15">
        <v>0</v>
      </c>
      <c r="G162" s="16">
        <f t="shared" si="52"/>
        <v>2</v>
      </c>
      <c r="H162" s="15"/>
      <c r="I162" s="15">
        <f t="shared" si="40"/>
        <v>0</v>
      </c>
      <c r="J162" s="15"/>
      <c r="K162" s="15">
        <f t="shared" si="53"/>
        <v>0</v>
      </c>
      <c r="L162" s="15"/>
      <c r="M162" s="15">
        <f t="shared" si="41"/>
        <v>0</v>
      </c>
      <c r="N162" s="15"/>
      <c r="O162" s="15">
        <f t="shared" si="42"/>
        <v>0</v>
      </c>
      <c r="P162" s="15"/>
      <c r="Q162" s="15">
        <f t="shared" si="43"/>
        <v>0</v>
      </c>
      <c r="R162" s="15"/>
      <c r="S162" s="15">
        <f t="shared" si="44"/>
        <v>0</v>
      </c>
      <c r="T162" s="15">
        <v>2</v>
      </c>
      <c r="U162" s="15">
        <f t="shared" si="45"/>
        <v>0</v>
      </c>
      <c r="V162" s="15">
        <f t="shared" si="39"/>
        <v>0</v>
      </c>
      <c r="W162" s="17"/>
      <c r="X162" s="17"/>
      <c r="Y162" s="18">
        <v>8.1000000000000003E-2</v>
      </c>
      <c r="Z162" s="1">
        <f t="shared" si="46"/>
        <v>0</v>
      </c>
      <c r="AA162" s="21"/>
      <c r="AC162" s="21"/>
      <c r="AE162" s="19"/>
      <c r="AF162" s="20">
        <f>SUMIF('[1]G-Chart'!G:G,[1]Capacity!D162,'[1]G-Chart'!L:L)</f>
        <v>0</v>
      </c>
      <c r="AG162" s="2">
        <f t="shared" si="47"/>
        <v>0</v>
      </c>
      <c r="AH162" s="2">
        <f t="shared" si="48"/>
        <v>0</v>
      </c>
      <c r="AI162" s="2">
        <f t="shared" si="54"/>
        <v>0</v>
      </c>
      <c r="AJ162" s="1">
        <f t="shared" si="49"/>
        <v>0</v>
      </c>
      <c r="AK162" s="1">
        <f t="shared" si="50"/>
        <v>0</v>
      </c>
      <c r="AL162" s="1">
        <f t="shared" si="51"/>
        <v>0</v>
      </c>
      <c r="AM162" s="1">
        <f t="shared" si="55"/>
        <v>0</v>
      </c>
    </row>
    <row r="163" spans="1:39" x14ac:dyDescent="0.3">
      <c r="A163" s="12">
        <v>161</v>
      </c>
      <c r="B163" s="12" t="s">
        <v>445</v>
      </c>
      <c r="C163" s="13" t="s">
        <v>446</v>
      </c>
      <c r="D163" s="13" t="s">
        <v>446</v>
      </c>
      <c r="E163" s="14"/>
      <c r="F163" s="15">
        <f>AB163</f>
        <v>0</v>
      </c>
      <c r="G163" s="16">
        <f t="shared" si="52"/>
        <v>0</v>
      </c>
      <c r="H163" s="15"/>
      <c r="I163" s="15">
        <f t="shared" si="40"/>
        <v>0</v>
      </c>
      <c r="J163" s="15"/>
      <c r="K163" s="15">
        <f t="shared" si="53"/>
        <v>0</v>
      </c>
      <c r="L163" s="15"/>
      <c r="M163" s="15">
        <f t="shared" si="41"/>
        <v>0</v>
      </c>
      <c r="N163" s="15"/>
      <c r="O163" s="15">
        <f t="shared" si="42"/>
        <v>0</v>
      </c>
      <c r="P163" s="15"/>
      <c r="Q163" s="15">
        <f t="shared" si="43"/>
        <v>0</v>
      </c>
      <c r="R163" s="15"/>
      <c r="S163" s="15">
        <f t="shared" si="44"/>
        <v>0</v>
      </c>
      <c r="T163" s="15"/>
      <c r="U163" s="15">
        <f t="shared" si="45"/>
        <v>0</v>
      </c>
      <c r="V163" s="15">
        <f t="shared" si="39"/>
        <v>0</v>
      </c>
      <c r="W163" s="17"/>
      <c r="X163" s="17"/>
      <c r="Y163" s="18">
        <v>1.268</v>
      </c>
      <c r="Z163" s="1">
        <f t="shared" si="46"/>
        <v>0</v>
      </c>
      <c r="AA163" s="21"/>
      <c r="AB163" s="1">
        <f>AD163*AA163</f>
        <v>0</v>
      </c>
      <c r="AC163" s="21"/>
      <c r="AE163" s="19"/>
      <c r="AF163" s="20">
        <f>SUMIF('[1]G-Chart'!G:G,[1]Capacity!D163,'[1]G-Chart'!L:L)</f>
        <v>0</v>
      </c>
      <c r="AG163" s="2">
        <f t="shared" si="47"/>
        <v>0</v>
      </c>
      <c r="AH163" s="2">
        <f t="shared" si="48"/>
        <v>0</v>
      </c>
      <c r="AI163" s="2">
        <f t="shared" si="54"/>
        <v>0</v>
      </c>
      <c r="AJ163" s="1">
        <f t="shared" si="49"/>
        <v>0</v>
      </c>
      <c r="AK163" s="1">
        <f t="shared" si="50"/>
        <v>0</v>
      </c>
      <c r="AL163" s="1">
        <f t="shared" si="51"/>
        <v>0</v>
      </c>
      <c r="AM163" s="1">
        <f t="shared" si="55"/>
        <v>0</v>
      </c>
    </row>
    <row r="164" spans="1:39" x14ac:dyDescent="0.3">
      <c r="A164" s="12">
        <v>162</v>
      </c>
      <c r="B164" s="12" t="s">
        <v>445</v>
      </c>
      <c r="C164" s="13" t="s">
        <v>447</v>
      </c>
      <c r="D164" s="13" t="s">
        <v>448</v>
      </c>
      <c r="E164" s="14" t="s">
        <v>449</v>
      </c>
      <c r="F164" s="15">
        <f t="shared" ref="F164:F169" si="57">AB164</f>
        <v>0</v>
      </c>
      <c r="G164" s="16">
        <f t="shared" si="52"/>
        <v>2</v>
      </c>
      <c r="H164" s="15"/>
      <c r="I164" s="15">
        <f t="shared" si="40"/>
        <v>0</v>
      </c>
      <c r="J164" s="15">
        <v>2</v>
      </c>
      <c r="K164" s="15">
        <f t="shared" si="53"/>
        <v>0</v>
      </c>
      <c r="L164" s="15"/>
      <c r="M164" s="15">
        <f t="shared" si="41"/>
        <v>0</v>
      </c>
      <c r="N164" s="15"/>
      <c r="O164" s="15">
        <f t="shared" si="42"/>
        <v>0</v>
      </c>
      <c r="P164" s="15"/>
      <c r="Q164" s="15">
        <f t="shared" si="43"/>
        <v>0</v>
      </c>
      <c r="R164" s="15"/>
      <c r="S164" s="15">
        <f t="shared" si="44"/>
        <v>0</v>
      </c>
      <c r="T164" s="15"/>
      <c r="U164" s="15">
        <f t="shared" si="45"/>
        <v>0</v>
      </c>
      <c r="V164" s="15">
        <f t="shared" si="39"/>
        <v>0</v>
      </c>
      <c r="W164" s="17"/>
      <c r="X164" s="17"/>
      <c r="Y164" s="18">
        <v>0.65</v>
      </c>
      <c r="Z164" s="1">
        <f t="shared" si="46"/>
        <v>0</v>
      </c>
      <c r="AA164" s="21"/>
      <c r="AB164" s="1">
        <f t="shared" ref="AB164:AB169" si="58">AD164*AA164</f>
        <v>0</v>
      </c>
      <c r="AC164" s="21"/>
      <c r="AE164" s="19"/>
      <c r="AF164" s="20">
        <f>SUMIF('[1]G-Chart'!G:G,[1]Capacity!D164,'[1]G-Chart'!L:L)</f>
        <v>0</v>
      </c>
      <c r="AG164" s="2">
        <f t="shared" si="47"/>
        <v>0</v>
      </c>
      <c r="AH164" s="2">
        <f t="shared" si="48"/>
        <v>0</v>
      </c>
      <c r="AI164" s="2">
        <f t="shared" si="54"/>
        <v>0</v>
      </c>
      <c r="AJ164" s="1">
        <f t="shared" si="49"/>
        <v>0</v>
      </c>
      <c r="AK164" s="1">
        <f t="shared" si="50"/>
        <v>0</v>
      </c>
      <c r="AL164" s="1">
        <f t="shared" si="51"/>
        <v>0</v>
      </c>
      <c r="AM164" s="1">
        <f t="shared" si="55"/>
        <v>0</v>
      </c>
    </row>
    <row r="165" spans="1:39" x14ac:dyDescent="0.3">
      <c r="A165" s="12">
        <v>163</v>
      </c>
      <c r="B165" s="12" t="s">
        <v>445</v>
      </c>
      <c r="C165" s="13" t="s">
        <v>450</v>
      </c>
      <c r="D165" s="13" t="s">
        <v>450</v>
      </c>
      <c r="E165" s="14"/>
      <c r="F165" s="15">
        <f t="shared" si="57"/>
        <v>0</v>
      </c>
      <c r="G165" s="16">
        <f t="shared" si="52"/>
        <v>0</v>
      </c>
      <c r="H165" s="15"/>
      <c r="I165" s="15">
        <f t="shared" si="40"/>
        <v>0</v>
      </c>
      <c r="J165" s="15"/>
      <c r="K165" s="15">
        <f t="shared" si="53"/>
        <v>0</v>
      </c>
      <c r="L165" s="15"/>
      <c r="M165" s="15">
        <f t="shared" si="41"/>
        <v>0</v>
      </c>
      <c r="N165" s="15"/>
      <c r="O165" s="15">
        <f t="shared" si="42"/>
        <v>0</v>
      </c>
      <c r="P165" s="15"/>
      <c r="Q165" s="15">
        <f t="shared" si="43"/>
        <v>0</v>
      </c>
      <c r="R165" s="15"/>
      <c r="S165" s="15">
        <f t="shared" si="44"/>
        <v>0</v>
      </c>
      <c r="T165" s="15"/>
      <c r="U165" s="15">
        <f t="shared" si="45"/>
        <v>0</v>
      </c>
      <c r="V165" s="15">
        <f t="shared" si="39"/>
        <v>0</v>
      </c>
      <c r="W165" s="17"/>
      <c r="X165" s="17"/>
      <c r="Y165" s="18">
        <v>1.47</v>
      </c>
      <c r="Z165" s="1">
        <f t="shared" si="46"/>
        <v>0</v>
      </c>
      <c r="AA165" s="21"/>
      <c r="AB165" s="1">
        <f t="shared" si="58"/>
        <v>0</v>
      </c>
      <c r="AC165" s="21"/>
      <c r="AE165" s="19"/>
      <c r="AF165" s="20">
        <f>SUMIF('[1]G-Chart'!G:G,[1]Capacity!D165,'[1]G-Chart'!L:L)</f>
        <v>0</v>
      </c>
      <c r="AG165" s="2">
        <f t="shared" si="47"/>
        <v>0</v>
      </c>
      <c r="AH165" s="2">
        <f t="shared" si="48"/>
        <v>0</v>
      </c>
      <c r="AI165" s="2">
        <f t="shared" si="54"/>
        <v>0</v>
      </c>
      <c r="AJ165" s="1">
        <f t="shared" si="49"/>
        <v>0</v>
      </c>
      <c r="AK165" s="1">
        <f t="shared" si="50"/>
        <v>0</v>
      </c>
      <c r="AL165" s="1">
        <f t="shared" si="51"/>
        <v>0</v>
      </c>
      <c r="AM165" s="1">
        <f t="shared" si="55"/>
        <v>0</v>
      </c>
    </row>
    <row r="166" spans="1:39" x14ac:dyDescent="0.3">
      <c r="A166" s="12">
        <v>164</v>
      </c>
      <c r="B166" s="12" t="s">
        <v>445</v>
      </c>
      <c r="C166" s="13" t="s">
        <v>451</v>
      </c>
      <c r="D166" s="13" t="s">
        <v>451</v>
      </c>
      <c r="E166" s="14" t="s">
        <v>452</v>
      </c>
      <c r="F166" s="15">
        <f t="shared" si="57"/>
        <v>0</v>
      </c>
      <c r="G166" s="16">
        <f t="shared" si="52"/>
        <v>0</v>
      </c>
      <c r="H166" s="15"/>
      <c r="I166" s="15">
        <f t="shared" si="40"/>
        <v>0</v>
      </c>
      <c r="J166" s="15"/>
      <c r="K166" s="15">
        <f t="shared" si="53"/>
        <v>0</v>
      </c>
      <c r="L166" s="15"/>
      <c r="M166" s="15">
        <f t="shared" si="41"/>
        <v>0</v>
      </c>
      <c r="N166" s="15"/>
      <c r="O166" s="15">
        <f t="shared" si="42"/>
        <v>0</v>
      </c>
      <c r="P166" s="15"/>
      <c r="Q166" s="15">
        <f t="shared" si="43"/>
        <v>0</v>
      </c>
      <c r="R166" s="15"/>
      <c r="S166" s="15">
        <f t="shared" si="44"/>
        <v>0</v>
      </c>
      <c r="T166" s="15"/>
      <c r="U166" s="15">
        <f t="shared" si="45"/>
        <v>0</v>
      </c>
      <c r="V166" s="15">
        <f t="shared" si="39"/>
        <v>0</v>
      </c>
      <c r="W166" s="17"/>
      <c r="X166" s="17"/>
      <c r="Y166" s="18">
        <v>3.1190000000000002</v>
      </c>
      <c r="Z166" s="1">
        <f t="shared" si="46"/>
        <v>0</v>
      </c>
      <c r="AA166" s="21"/>
      <c r="AB166" s="1">
        <f t="shared" si="58"/>
        <v>0</v>
      </c>
      <c r="AC166" s="21"/>
      <c r="AE166" s="19"/>
      <c r="AF166" s="20">
        <f>SUMIF('[1]G-Chart'!G:G,[1]Capacity!D166,'[1]G-Chart'!L:L)</f>
        <v>0</v>
      </c>
      <c r="AG166" s="2">
        <f t="shared" si="47"/>
        <v>0</v>
      </c>
      <c r="AH166" s="2">
        <f t="shared" si="48"/>
        <v>0</v>
      </c>
      <c r="AI166" s="2">
        <f t="shared" si="54"/>
        <v>0</v>
      </c>
      <c r="AJ166" s="1">
        <f t="shared" si="49"/>
        <v>0</v>
      </c>
      <c r="AK166" s="1">
        <f t="shared" si="50"/>
        <v>0</v>
      </c>
      <c r="AL166" s="1">
        <f t="shared" si="51"/>
        <v>0</v>
      </c>
      <c r="AM166" s="1">
        <f t="shared" si="55"/>
        <v>0</v>
      </c>
    </row>
    <row r="167" spans="1:39" x14ac:dyDescent="0.3">
      <c r="A167" s="12">
        <v>165</v>
      </c>
      <c r="B167" s="12" t="s">
        <v>445</v>
      </c>
      <c r="C167" s="13" t="s">
        <v>453</v>
      </c>
      <c r="D167" s="13" t="s">
        <v>453</v>
      </c>
      <c r="E167" s="14" t="s">
        <v>454</v>
      </c>
      <c r="F167" s="15">
        <f t="shared" si="57"/>
        <v>0</v>
      </c>
      <c r="G167" s="16">
        <f t="shared" si="52"/>
        <v>0</v>
      </c>
      <c r="H167" s="15"/>
      <c r="I167" s="15">
        <f t="shared" si="40"/>
        <v>0</v>
      </c>
      <c r="J167" s="15"/>
      <c r="K167" s="15">
        <f t="shared" si="53"/>
        <v>0</v>
      </c>
      <c r="L167" s="15"/>
      <c r="M167" s="15">
        <f t="shared" si="41"/>
        <v>0</v>
      </c>
      <c r="N167" s="15"/>
      <c r="O167" s="15">
        <f t="shared" si="42"/>
        <v>0</v>
      </c>
      <c r="P167" s="15"/>
      <c r="Q167" s="15">
        <f t="shared" si="43"/>
        <v>0</v>
      </c>
      <c r="R167" s="15"/>
      <c r="S167" s="15">
        <f t="shared" si="44"/>
        <v>0</v>
      </c>
      <c r="T167" s="15"/>
      <c r="U167" s="15">
        <f t="shared" si="45"/>
        <v>0</v>
      </c>
      <c r="V167" s="15">
        <f t="shared" si="39"/>
        <v>0</v>
      </c>
      <c r="W167" s="17"/>
      <c r="X167" s="17"/>
      <c r="Y167" s="18">
        <v>3.1560000000000001</v>
      </c>
      <c r="Z167" s="1">
        <f t="shared" si="46"/>
        <v>0</v>
      </c>
      <c r="AA167" s="21"/>
      <c r="AB167" s="1">
        <f t="shared" si="58"/>
        <v>0</v>
      </c>
      <c r="AC167" s="21"/>
      <c r="AE167" s="19"/>
      <c r="AF167" s="20">
        <f>SUMIF('[1]G-Chart'!G:G,[1]Capacity!D167,'[1]G-Chart'!L:L)</f>
        <v>0</v>
      </c>
      <c r="AG167" s="2">
        <f t="shared" si="47"/>
        <v>0</v>
      </c>
      <c r="AH167" s="2">
        <f t="shared" si="48"/>
        <v>0</v>
      </c>
      <c r="AI167" s="2">
        <f t="shared" si="54"/>
        <v>0</v>
      </c>
      <c r="AJ167" s="1">
        <f t="shared" si="49"/>
        <v>0</v>
      </c>
      <c r="AK167" s="1">
        <f t="shared" si="50"/>
        <v>0</v>
      </c>
      <c r="AL167" s="1">
        <f t="shared" si="51"/>
        <v>0</v>
      </c>
      <c r="AM167" s="1">
        <f t="shared" si="55"/>
        <v>0</v>
      </c>
    </row>
    <row r="168" spans="1:39" x14ac:dyDescent="0.3">
      <c r="A168" s="12">
        <v>166</v>
      </c>
      <c r="B168" s="12" t="s">
        <v>445</v>
      </c>
      <c r="C168" s="13" t="s">
        <v>455</v>
      </c>
      <c r="D168" s="13" t="s">
        <v>455</v>
      </c>
      <c r="E168" s="14"/>
      <c r="F168" s="15">
        <f t="shared" si="57"/>
        <v>0</v>
      </c>
      <c r="G168" s="16">
        <f t="shared" si="52"/>
        <v>0</v>
      </c>
      <c r="H168" s="15"/>
      <c r="I168" s="15">
        <f t="shared" si="40"/>
        <v>0</v>
      </c>
      <c r="J168" s="15"/>
      <c r="K168" s="15">
        <f t="shared" si="53"/>
        <v>0</v>
      </c>
      <c r="L168" s="15"/>
      <c r="M168" s="15">
        <f t="shared" si="41"/>
        <v>0</v>
      </c>
      <c r="N168" s="15"/>
      <c r="O168" s="15">
        <f t="shared" si="42"/>
        <v>0</v>
      </c>
      <c r="P168" s="15"/>
      <c r="Q168" s="15">
        <f t="shared" si="43"/>
        <v>0</v>
      </c>
      <c r="R168" s="15"/>
      <c r="S168" s="15">
        <f t="shared" si="44"/>
        <v>0</v>
      </c>
      <c r="T168" s="15"/>
      <c r="U168" s="15">
        <f t="shared" si="45"/>
        <v>0</v>
      </c>
      <c r="V168" s="15">
        <f t="shared" si="39"/>
        <v>0</v>
      </c>
      <c r="W168" s="17"/>
      <c r="X168" s="17"/>
      <c r="Y168" s="18">
        <v>3.012</v>
      </c>
      <c r="Z168" s="1">
        <f t="shared" si="46"/>
        <v>0</v>
      </c>
      <c r="AA168" s="21"/>
      <c r="AB168" s="1">
        <f t="shared" si="58"/>
        <v>0</v>
      </c>
      <c r="AC168" s="21"/>
      <c r="AE168" s="19"/>
      <c r="AF168" s="20">
        <f>SUMIF('[1]G-Chart'!G:G,[1]Capacity!D168,'[1]G-Chart'!L:L)</f>
        <v>0</v>
      </c>
      <c r="AG168" s="2">
        <f t="shared" si="47"/>
        <v>0</v>
      </c>
      <c r="AH168" s="2">
        <f t="shared" si="48"/>
        <v>0</v>
      </c>
      <c r="AI168" s="2">
        <f t="shared" si="54"/>
        <v>0</v>
      </c>
      <c r="AJ168" s="1">
        <f t="shared" si="49"/>
        <v>0</v>
      </c>
      <c r="AK168" s="1">
        <f t="shared" si="50"/>
        <v>0</v>
      </c>
      <c r="AL168" s="1">
        <f t="shared" si="51"/>
        <v>0</v>
      </c>
      <c r="AM168" s="1">
        <f t="shared" si="55"/>
        <v>0</v>
      </c>
    </row>
    <row r="169" spans="1:39" x14ac:dyDescent="0.3">
      <c r="A169" s="12">
        <v>167</v>
      </c>
      <c r="B169" s="12" t="s">
        <v>445</v>
      </c>
      <c r="C169" s="13" t="s">
        <v>456</v>
      </c>
      <c r="D169" s="13" t="s">
        <v>456</v>
      </c>
      <c r="E169" s="14"/>
      <c r="F169" s="15">
        <f t="shared" si="57"/>
        <v>0</v>
      </c>
      <c r="G169" s="16">
        <f t="shared" si="52"/>
        <v>0</v>
      </c>
      <c r="H169" s="15"/>
      <c r="I169" s="15">
        <f t="shared" si="40"/>
        <v>0</v>
      </c>
      <c r="J169" s="15"/>
      <c r="K169" s="15">
        <f t="shared" si="53"/>
        <v>0</v>
      </c>
      <c r="L169" s="15"/>
      <c r="M169" s="15">
        <f t="shared" si="41"/>
        <v>0</v>
      </c>
      <c r="N169" s="15"/>
      <c r="O169" s="15">
        <f t="shared" si="42"/>
        <v>0</v>
      </c>
      <c r="P169" s="15"/>
      <c r="Q169" s="15">
        <f t="shared" si="43"/>
        <v>0</v>
      </c>
      <c r="R169" s="15"/>
      <c r="S169" s="15">
        <f t="shared" si="44"/>
        <v>0</v>
      </c>
      <c r="T169" s="15"/>
      <c r="U169" s="15">
        <f t="shared" si="45"/>
        <v>0</v>
      </c>
      <c r="V169" s="15">
        <f t="shared" si="39"/>
        <v>0</v>
      </c>
      <c r="W169" s="17"/>
      <c r="X169" s="17"/>
      <c r="Y169" s="18">
        <v>2.9609999999999999</v>
      </c>
      <c r="Z169" s="1">
        <f t="shared" si="46"/>
        <v>0</v>
      </c>
      <c r="AA169" s="21"/>
      <c r="AB169" s="1">
        <f t="shared" si="58"/>
        <v>0</v>
      </c>
      <c r="AC169" s="21"/>
      <c r="AE169" s="19"/>
      <c r="AF169" s="20">
        <f>SUMIF('[1]G-Chart'!G:G,[1]Capacity!D169,'[1]G-Chart'!L:L)</f>
        <v>0</v>
      </c>
      <c r="AG169" s="2">
        <f t="shared" si="47"/>
        <v>0</v>
      </c>
      <c r="AH169" s="2">
        <f t="shared" si="48"/>
        <v>0</v>
      </c>
      <c r="AI169" s="2">
        <f t="shared" si="54"/>
        <v>0</v>
      </c>
      <c r="AJ169" s="1">
        <f t="shared" si="49"/>
        <v>0</v>
      </c>
      <c r="AK169" s="1">
        <f t="shared" si="50"/>
        <v>0</v>
      </c>
      <c r="AL169" s="1">
        <f t="shared" si="51"/>
        <v>0</v>
      </c>
      <c r="AM169" s="1">
        <f t="shared" si="55"/>
        <v>0</v>
      </c>
    </row>
    <row r="170" spans="1:39" x14ac:dyDescent="0.3">
      <c r="A170" s="12">
        <v>168</v>
      </c>
      <c r="B170" s="12" t="s">
        <v>109</v>
      </c>
      <c r="C170" s="13" t="s">
        <v>457</v>
      </c>
      <c r="D170" s="13" t="s">
        <v>458</v>
      </c>
      <c r="E170" s="14" t="s">
        <v>459</v>
      </c>
      <c r="F170" s="15">
        <f>AB170</f>
        <v>0</v>
      </c>
      <c r="G170" s="16">
        <f t="shared" si="52"/>
        <v>1</v>
      </c>
      <c r="H170" s="15"/>
      <c r="I170" s="15">
        <f t="shared" si="40"/>
        <v>0</v>
      </c>
      <c r="J170" s="15"/>
      <c r="K170" s="15">
        <f t="shared" si="53"/>
        <v>0</v>
      </c>
      <c r="L170" s="15">
        <v>1</v>
      </c>
      <c r="M170" s="15">
        <f t="shared" si="41"/>
        <v>0</v>
      </c>
      <c r="N170" s="15"/>
      <c r="O170" s="15">
        <f t="shared" si="42"/>
        <v>0</v>
      </c>
      <c r="P170" s="15"/>
      <c r="Q170" s="15">
        <f t="shared" si="43"/>
        <v>0</v>
      </c>
      <c r="R170" s="15"/>
      <c r="S170" s="15">
        <f t="shared" si="44"/>
        <v>0</v>
      </c>
      <c r="T170" s="15"/>
      <c r="U170" s="15">
        <f t="shared" si="45"/>
        <v>0</v>
      </c>
      <c r="V170" s="15">
        <f t="shared" si="39"/>
        <v>0</v>
      </c>
      <c r="W170" s="17"/>
      <c r="X170" s="17"/>
      <c r="Y170" s="18">
        <v>0.28999999999999998</v>
      </c>
      <c r="Z170" s="1">
        <f t="shared" si="46"/>
        <v>0</v>
      </c>
      <c r="AA170" s="21">
        <v>2</v>
      </c>
      <c r="AB170" s="1">
        <f>AD170*AA170</f>
        <v>0</v>
      </c>
      <c r="AC170" s="21"/>
      <c r="AE170" s="19"/>
      <c r="AF170" s="20">
        <f>SUMIF('[1]G-Chart'!G:G,[1]Capacity!D170,'[1]G-Chart'!L:L)</f>
        <v>-97</v>
      </c>
      <c r="AG170" s="2">
        <f t="shared" si="47"/>
        <v>0</v>
      </c>
      <c r="AH170" s="2">
        <v>0</v>
      </c>
      <c r="AI170" s="2">
        <f t="shared" si="54"/>
        <v>0</v>
      </c>
      <c r="AJ170" s="1">
        <f t="shared" si="49"/>
        <v>0</v>
      </c>
      <c r="AK170" s="1">
        <f t="shared" si="50"/>
        <v>0</v>
      </c>
      <c r="AL170" s="1">
        <f t="shared" si="51"/>
        <v>0</v>
      </c>
      <c r="AM170" s="1">
        <f t="shared" si="55"/>
        <v>-97</v>
      </c>
    </row>
    <row r="171" spans="1:39" x14ac:dyDescent="0.3">
      <c r="A171" s="12">
        <v>169</v>
      </c>
      <c r="B171" s="12" t="s">
        <v>109</v>
      </c>
      <c r="C171" s="13" t="s">
        <v>460</v>
      </c>
      <c r="D171" s="23" t="s">
        <v>461</v>
      </c>
      <c r="E171" s="14" t="s">
        <v>462</v>
      </c>
      <c r="F171" s="15">
        <v>0</v>
      </c>
      <c r="G171" s="16">
        <f t="shared" si="52"/>
        <v>1</v>
      </c>
      <c r="H171" s="15"/>
      <c r="I171" s="15">
        <f t="shared" si="40"/>
        <v>0</v>
      </c>
      <c r="J171" s="15">
        <v>1</v>
      </c>
      <c r="K171" s="15">
        <f t="shared" si="53"/>
        <v>0</v>
      </c>
      <c r="L171" s="15"/>
      <c r="M171" s="15">
        <f t="shared" si="41"/>
        <v>0</v>
      </c>
      <c r="N171" s="15"/>
      <c r="O171" s="15">
        <f t="shared" si="42"/>
        <v>0</v>
      </c>
      <c r="P171" s="15"/>
      <c r="Q171" s="15">
        <f t="shared" si="43"/>
        <v>0</v>
      </c>
      <c r="R171" s="15"/>
      <c r="S171" s="15">
        <f t="shared" si="44"/>
        <v>0</v>
      </c>
      <c r="T171" s="15"/>
      <c r="U171" s="15">
        <f t="shared" si="45"/>
        <v>0</v>
      </c>
      <c r="V171" s="15">
        <f t="shared" si="39"/>
        <v>0</v>
      </c>
      <c r="W171" s="17"/>
      <c r="X171" s="17"/>
      <c r="Y171" s="18">
        <v>0.10100000000000001</v>
      </c>
      <c r="Z171" s="1">
        <f t="shared" si="46"/>
        <v>0</v>
      </c>
      <c r="AA171" s="21"/>
      <c r="AC171" s="21"/>
      <c r="AE171" s="19"/>
      <c r="AF171" s="20">
        <f>SUMIF('[1]G-Chart'!G:G,[1]Capacity!D171,'[1]G-Chart'!L:L)</f>
        <v>-80</v>
      </c>
      <c r="AG171" s="2">
        <v>0</v>
      </c>
      <c r="AH171" s="2">
        <v>0</v>
      </c>
      <c r="AI171" s="2">
        <f t="shared" si="54"/>
        <v>0</v>
      </c>
      <c r="AJ171" s="1">
        <f t="shared" si="49"/>
        <v>0</v>
      </c>
      <c r="AK171" s="1">
        <f t="shared" si="50"/>
        <v>0</v>
      </c>
      <c r="AL171" s="1">
        <f t="shared" si="51"/>
        <v>0</v>
      </c>
      <c r="AM171" s="1">
        <f t="shared" si="55"/>
        <v>-80</v>
      </c>
    </row>
    <row r="172" spans="1:39" x14ac:dyDescent="0.3">
      <c r="A172" s="12">
        <v>170</v>
      </c>
      <c r="B172" s="12" t="s">
        <v>26</v>
      </c>
      <c r="C172" s="13" t="s">
        <v>463</v>
      </c>
      <c r="D172" s="13" t="s">
        <v>463</v>
      </c>
      <c r="E172" s="14" t="s">
        <v>86</v>
      </c>
      <c r="F172" s="15">
        <v>0</v>
      </c>
      <c r="G172" s="16">
        <f t="shared" si="52"/>
        <v>2</v>
      </c>
      <c r="H172" s="15"/>
      <c r="I172" s="15">
        <f t="shared" si="40"/>
        <v>0</v>
      </c>
      <c r="J172" s="15">
        <v>1</v>
      </c>
      <c r="K172" s="15">
        <f t="shared" si="53"/>
        <v>0</v>
      </c>
      <c r="L172" s="15"/>
      <c r="M172" s="15">
        <f t="shared" si="41"/>
        <v>0</v>
      </c>
      <c r="N172" s="15"/>
      <c r="O172" s="15">
        <f t="shared" si="42"/>
        <v>0</v>
      </c>
      <c r="P172" s="15">
        <v>1</v>
      </c>
      <c r="Q172" s="15">
        <f t="shared" si="43"/>
        <v>0</v>
      </c>
      <c r="R172" s="15"/>
      <c r="S172" s="15">
        <f t="shared" si="44"/>
        <v>0</v>
      </c>
      <c r="T172" s="15"/>
      <c r="U172" s="15">
        <f t="shared" si="45"/>
        <v>0</v>
      </c>
      <c r="V172" s="15">
        <f t="shared" si="39"/>
        <v>0</v>
      </c>
      <c r="W172" s="17"/>
      <c r="X172" s="17"/>
      <c r="Y172" s="18">
        <v>0.08</v>
      </c>
      <c r="Z172" s="1">
        <f t="shared" si="46"/>
        <v>0</v>
      </c>
      <c r="AA172" s="21"/>
      <c r="AC172" s="21"/>
      <c r="AE172" s="19"/>
      <c r="AF172" s="20">
        <f>SUMIF('[1]G-Chart'!G:G,[1]Capacity!D172,'[1]G-Chart'!L:L)</f>
        <v>0</v>
      </c>
      <c r="AG172" s="2">
        <f t="shared" si="47"/>
        <v>0</v>
      </c>
      <c r="AH172" s="2">
        <f t="shared" si="48"/>
        <v>0</v>
      </c>
      <c r="AI172" s="2">
        <f t="shared" si="54"/>
        <v>0</v>
      </c>
      <c r="AJ172" s="1">
        <f t="shared" si="49"/>
        <v>0</v>
      </c>
      <c r="AK172" s="1">
        <f t="shared" si="50"/>
        <v>0</v>
      </c>
      <c r="AL172" s="1">
        <f t="shared" si="51"/>
        <v>0</v>
      </c>
      <c r="AM172" s="1">
        <f t="shared" si="55"/>
        <v>0</v>
      </c>
    </row>
    <row r="173" spans="1:39" x14ac:dyDescent="0.3">
      <c r="A173" s="12">
        <v>171</v>
      </c>
      <c r="B173" s="12" t="s">
        <v>259</v>
      </c>
      <c r="C173" s="13" t="s">
        <v>464</v>
      </c>
      <c r="D173" s="23" t="s">
        <v>464</v>
      </c>
      <c r="E173" s="14" t="s">
        <v>465</v>
      </c>
      <c r="F173" s="15">
        <v>0</v>
      </c>
      <c r="G173" s="16">
        <f t="shared" si="52"/>
        <v>4</v>
      </c>
      <c r="H173" s="15"/>
      <c r="I173" s="15">
        <f t="shared" si="40"/>
        <v>0</v>
      </c>
      <c r="J173" s="15"/>
      <c r="K173" s="15">
        <f t="shared" si="53"/>
        <v>0</v>
      </c>
      <c r="L173" s="15"/>
      <c r="M173" s="15">
        <f t="shared" si="41"/>
        <v>0</v>
      </c>
      <c r="N173" s="15"/>
      <c r="O173" s="15">
        <f t="shared" si="42"/>
        <v>0</v>
      </c>
      <c r="P173" s="15">
        <v>1</v>
      </c>
      <c r="Q173" s="15">
        <f t="shared" si="43"/>
        <v>0</v>
      </c>
      <c r="R173" s="15">
        <v>1</v>
      </c>
      <c r="S173" s="15">
        <f t="shared" si="44"/>
        <v>0</v>
      </c>
      <c r="T173" s="15">
        <v>2</v>
      </c>
      <c r="U173" s="15">
        <f t="shared" si="45"/>
        <v>0</v>
      </c>
      <c r="V173" s="15">
        <f t="shared" si="39"/>
        <v>0</v>
      </c>
      <c r="W173" s="17"/>
      <c r="X173" s="17"/>
      <c r="Y173" s="18">
        <v>0.51300000000000001</v>
      </c>
      <c r="Z173" s="1">
        <f t="shared" si="46"/>
        <v>0</v>
      </c>
      <c r="AA173" s="21"/>
      <c r="AC173" s="21"/>
      <c r="AE173" s="19"/>
      <c r="AF173" s="20">
        <f>SUMIF('[1]G-Chart'!G:G,[1]Capacity!D173,'[1]G-Chart'!L:L)</f>
        <v>280</v>
      </c>
      <c r="AG173" s="2">
        <f t="shared" si="47"/>
        <v>0</v>
      </c>
      <c r="AH173" s="2">
        <f t="shared" si="48"/>
        <v>0</v>
      </c>
      <c r="AI173" s="2">
        <f t="shared" si="54"/>
        <v>0</v>
      </c>
      <c r="AJ173" s="1">
        <f t="shared" si="49"/>
        <v>280</v>
      </c>
      <c r="AK173" s="1">
        <f t="shared" si="50"/>
        <v>280</v>
      </c>
      <c r="AL173" s="1">
        <f t="shared" si="51"/>
        <v>560</v>
      </c>
      <c r="AM173" s="1">
        <f t="shared" si="55"/>
        <v>1120</v>
      </c>
    </row>
    <row r="174" spans="1:39" x14ac:dyDescent="0.3">
      <c r="A174" s="12">
        <v>172</v>
      </c>
      <c r="B174" s="12" t="s">
        <v>259</v>
      </c>
      <c r="C174" s="13" t="s">
        <v>466</v>
      </c>
      <c r="D174" s="13" t="s">
        <v>466</v>
      </c>
      <c r="E174" s="14" t="s">
        <v>467</v>
      </c>
      <c r="F174" s="15">
        <v>0</v>
      </c>
      <c r="G174" s="16">
        <f t="shared" si="52"/>
        <v>4</v>
      </c>
      <c r="H174" s="15"/>
      <c r="I174" s="15">
        <f t="shared" si="40"/>
        <v>0</v>
      </c>
      <c r="J174" s="15"/>
      <c r="K174" s="15">
        <f t="shared" si="53"/>
        <v>0</v>
      </c>
      <c r="L174" s="15"/>
      <c r="M174" s="15">
        <f t="shared" si="41"/>
        <v>0</v>
      </c>
      <c r="N174" s="15"/>
      <c r="O174" s="15">
        <f t="shared" si="42"/>
        <v>0</v>
      </c>
      <c r="P174" s="15">
        <v>1</v>
      </c>
      <c r="Q174" s="15">
        <f t="shared" si="43"/>
        <v>0</v>
      </c>
      <c r="R174" s="15"/>
      <c r="S174" s="15">
        <f t="shared" si="44"/>
        <v>0</v>
      </c>
      <c r="T174" s="15">
        <v>3</v>
      </c>
      <c r="U174" s="15">
        <f t="shared" si="45"/>
        <v>0</v>
      </c>
      <c r="V174" s="15">
        <f t="shared" si="39"/>
        <v>0</v>
      </c>
      <c r="W174" s="17"/>
      <c r="X174" s="17"/>
      <c r="Y174" s="18">
        <v>0.41</v>
      </c>
      <c r="Z174" s="1">
        <f t="shared" si="46"/>
        <v>0</v>
      </c>
      <c r="AA174" s="21"/>
      <c r="AC174" s="21"/>
      <c r="AE174" s="19"/>
      <c r="AF174" s="20">
        <f>SUMIF('[1]G-Chart'!G:G,[1]Capacity!D174,'[1]G-Chart'!L:L)</f>
        <v>0</v>
      </c>
      <c r="AG174" s="2">
        <f t="shared" si="47"/>
        <v>0</v>
      </c>
      <c r="AH174" s="2">
        <f t="shared" si="48"/>
        <v>0</v>
      </c>
      <c r="AI174" s="2">
        <f t="shared" si="54"/>
        <v>0</v>
      </c>
      <c r="AJ174" s="1">
        <f t="shared" si="49"/>
        <v>0</v>
      </c>
      <c r="AK174" s="1">
        <f t="shared" si="50"/>
        <v>0</v>
      </c>
      <c r="AL174" s="1">
        <f t="shared" si="51"/>
        <v>0</v>
      </c>
      <c r="AM174" s="1">
        <f t="shared" si="55"/>
        <v>0</v>
      </c>
    </row>
    <row r="175" spans="1:39" x14ac:dyDescent="0.3">
      <c r="A175" s="12">
        <v>173</v>
      </c>
      <c r="B175" s="12" t="s">
        <v>236</v>
      </c>
      <c r="C175" s="13" t="s">
        <v>468</v>
      </c>
      <c r="D175" s="13" t="s">
        <v>468</v>
      </c>
      <c r="E175" s="14" t="s">
        <v>469</v>
      </c>
      <c r="F175" s="15">
        <f>AD175</f>
        <v>0</v>
      </c>
      <c r="G175" s="16">
        <f t="shared" si="52"/>
        <v>2</v>
      </c>
      <c r="H175" s="15"/>
      <c r="I175" s="15">
        <f t="shared" si="40"/>
        <v>0</v>
      </c>
      <c r="J175" s="15"/>
      <c r="K175" s="15">
        <f t="shared" si="53"/>
        <v>0</v>
      </c>
      <c r="L175" s="15"/>
      <c r="M175" s="15">
        <f t="shared" si="41"/>
        <v>0</v>
      </c>
      <c r="N175" s="15">
        <v>1</v>
      </c>
      <c r="O175" s="15">
        <f t="shared" si="42"/>
        <v>0</v>
      </c>
      <c r="P175" s="15">
        <v>1</v>
      </c>
      <c r="Q175" s="15">
        <f t="shared" si="43"/>
        <v>0</v>
      </c>
      <c r="R175" s="15"/>
      <c r="S175" s="15">
        <f t="shared" si="44"/>
        <v>0</v>
      </c>
      <c r="T175" s="15"/>
      <c r="U175" s="15">
        <f t="shared" si="45"/>
        <v>0</v>
      </c>
      <c r="V175" s="15">
        <f t="shared" si="39"/>
        <v>0</v>
      </c>
      <c r="W175" s="17"/>
      <c r="X175" s="17"/>
      <c r="Y175" s="18">
        <v>0.19400000000000001</v>
      </c>
      <c r="Z175" s="1">
        <f t="shared" si="46"/>
        <v>0</v>
      </c>
      <c r="AA175" s="21"/>
      <c r="AC175" s="30"/>
      <c r="AD175" s="21"/>
      <c r="AE175" s="46"/>
      <c r="AF175" s="20">
        <f>SUMIF('[1]G-Chart'!G:G,[1]Capacity!D175,'[1]G-Chart'!L:L)</f>
        <v>0</v>
      </c>
      <c r="AG175" s="2">
        <f t="shared" si="47"/>
        <v>0</v>
      </c>
      <c r="AH175" s="2">
        <f t="shared" si="48"/>
        <v>0</v>
      </c>
      <c r="AI175" s="2">
        <f t="shared" si="54"/>
        <v>0</v>
      </c>
      <c r="AJ175" s="1">
        <f t="shared" si="49"/>
        <v>0</v>
      </c>
      <c r="AK175" s="1">
        <f t="shared" si="50"/>
        <v>0</v>
      </c>
      <c r="AL175" s="1">
        <f t="shared" si="51"/>
        <v>0</v>
      </c>
      <c r="AM175" s="1">
        <f t="shared" si="55"/>
        <v>0</v>
      </c>
    </row>
    <row r="176" spans="1:39" x14ac:dyDescent="0.3">
      <c r="A176" s="12">
        <v>174</v>
      </c>
      <c r="B176" s="12" t="s">
        <v>236</v>
      </c>
      <c r="C176" s="13" t="s">
        <v>470</v>
      </c>
      <c r="D176" s="13" t="s">
        <v>470</v>
      </c>
      <c r="E176" s="14" t="s">
        <v>471</v>
      </c>
      <c r="F176" s="15">
        <f>AD176</f>
        <v>0</v>
      </c>
      <c r="G176" s="16">
        <f t="shared" si="52"/>
        <v>2</v>
      </c>
      <c r="H176" s="15"/>
      <c r="I176" s="15">
        <f t="shared" si="40"/>
        <v>0</v>
      </c>
      <c r="J176" s="15"/>
      <c r="K176" s="15">
        <f t="shared" si="53"/>
        <v>0</v>
      </c>
      <c r="L176" s="15"/>
      <c r="M176" s="15">
        <f t="shared" si="41"/>
        <v>0</v>
      </c>
      <c r="N176" s="15">
        <v>1</v>
      </c>
      <c r="O176" s="15">
        <f t="shared" si="42"/>
        <v>0</v>
      </c>
      <c r="P176" s="15">
        <v>1</v>
      </c>
      <c r="Q176" s="15">
        <f t="shared" si="43"/>
        <v>0</v>
      </c>
      <c r="R176" s="15"/>
      <c r="S176" s="15">
        <f t="shared" si="44"/>
        <v>0</v>
      </c>
      <c r="T176" s="15"/>
      <c r="U176" s="15">
        <f t="shared" si="45"/>
        <v>0</v>
      </c>
      <c r="V176" s="15">
        <f t="shared" si="39"/>
        <v>0</v>
      </c>
      <c r="W176" s="17"/>
      <c r="X176" s="17"/>
      <c r="Y176" s="18">
        <v>0.193</v>
      </c>
      <c r="Z176" s="1">
        <f t="shared" si="46"/>
        <v>0</v>
      </c>
      <c r="AA176" s="21"/>
      <c r="AC176" s="30"/>
      <c r="AD176" s="21"/>
      <c r="AE176" s="46"/>
      <c r="AF176" s="20">
        <f>SUMIF('[1]G-Chart'!G:G,[1]Capacity!D176,'[1]G-Chart'!L:L)</f>
        <v>0</v>
      </c>
      <c r="AG176" s="2">
        <f t="shared" si="47"/>
        <v>0</v>
      </c>
      <c r="AH176" s="2">
        <f t="shared" si="48"/>
        <v>0</v>
      </c>
      <c r="AI176" s="2">
        <f t="shared" si="54"/>
        <v>0</v>
      </c>
      <c r="AJ176" s="1">
        <f t="shared" si="49"/>
        <v>0</v>
      </c>
      <c r="AK176" s="1">
        <f t="shared" si="50"/>
        <v>0</v>
      </c>
      <c r="AL176" s="1">
        <f t="shared" si="51"/>
        <v>0</v>
      </c>
      <c r="AM176" s="1">
        <f t="shared" si="55"/>
        <v>0</v>
      </c>
    </row>
    <row r="177" spans="1:39" x14ac:dyDescent="0.3">
      <c r="A177" s="12">
        <v>175</v>
      </c>
      <c r="B177" s="12" t="s">
        <v>236</v>
      </c>
      <c r="C177" s="13" t="s">
        <v>472</v>
      </c>
      <c r="D177" s="13" t="s">
        <v>473</v>
      </c>
      <c r="E177" s="14" t="s">
        <v>474</v>
      </c>
      <c r="F177" s="15">
        <v>0</v>
      </c>
      <c r="G177" s="16">
        <f t="shared" si="52"/>
        <v>2.5</v>
      </c>
      <c r="H177" s="15"/>
      <c r="I177" s="15">
        <f t="shared" si="40"/>
        <v>0</v>
      </c>
      <c r="J177" s="15">
        <v>1</v>
      </c>
      <c r="K177" s="15">
        <f t="shared" si="53"/>
        <v>0</v>
      </c>
      <c r="L177" s="15">
        <v>1</v>
      </c>
      <c r="M177" s="15">
        <f t="shared" si="41"/>
        <v>0</v>
      </c>
      <c r="N177" s="15"/>
      <c r="O177" s="15">
        <f t="shared" si="42"/>
        <v>0</v>
      </c>
      <c r="P177" s="15">
        <v>0.5</v>
      </c>
      <c r="Q177" s="15">
        <f t="shared" si="43"/>
        <v>0</v>
      </c>
      <c r="R177" s="15"/>
      <c r="S177" s="15">
        <f t="shared" si="44"/>
        <v>0</v>
      </c>
      <c r="T177" s="15"/>
      <c r="U177" s="15">
        <f t="shared" si="45"/>
        <v>0</v>
      </c>
      <c r="V177" s="15">
        <f t="shared" si="39"/>
        <v>0</v>
      </c>
      <c r="W177" s="17"/>
      <c r="X177" s="17"/>
      <c r="Y177" s="18">
        <v>0.45</v>
      </c>
      <c r="Z177" s="1">
        <f t="shared" si="46"/>
        <v>0</v>
      </c>
      <c r="AA177" s="21"/>
      <c r="AC177" s="21"/>
      <c r="AE177" s="19"/>
      <c r="AF177" s="20">
        <f>SUMIF('[1]G-Chart'!G:G,[1]Capacity!D177,'[1]G-Chart'!L:L)</f>
        <v>0</v>
      </c>
      <c r="AG177" s="2">
        <f t="shared" si="47"/>
        <v>0</v>
      </c>
      <c r="AH177" s="2">
        <f t="shared" si="48"/>
        <v>0</v>
      </c>
      <c r="AI177" s="2">
        <f t="shared" si="54"/>
        <v>0</v>
      </c>
      <c r="AJ177" s="1">
        <f t="shared" si="49"/>
        <v>0</v>
      </c>
      <c r="AK177" s="1">
        <f t="shared" si="50"/>
        <v>0</v>
      </c>
      <c r="AL177" s="1">
        <f t="shared" si="51"/>
        <v>0</v>
      </c>
      <c r="AM177" s="1">
        <f t="shared" si="55"/>
        <v>0</v>
      </c>
    </row>
    <row r="178" spans="1:39" x14ac:dyDescent="0.3">
      <c r="A178" s="12">
        <v>176</v>
      </c>
      <c r="B178" s="12" t="s">
        <v>475</v>
      </c>
      <c r="C178" s="13" t="s">
        <v>476</v>
      </c>
      <c r="D178" s="13" t="s">
        <v>477</v>
      </c>
      <c r="E178" s="14" t="s">
        <v>478</v>
      </c>
      <c r="F178" s="15">
        <v>0</v>
      </c>
      <c r="G178" s="16">
        <f t="shared" si="52"/>
        <v>0</v>
      </c>
      <c r="H178" s="15"/>
      <c r="I178" s="15">
        <f t="shared" si="40"/>
        <v>0</v>
      </c>
      <c r="J178" s="15"/>
      <c r="K178" s="15">
        <f t="shared" si="53"/>
        <v>0</v>
      </c>
      <c r="L178" s="15"/>
      <c r="M178" s="15">
        <f t="shared" si="41"/>
        <v>0</v>
      </c>
      <c r="N178" s="15"/>
      <c r="O178" s="15">
        <f t="shared" si="42"/>
        <v>0</v>
      </c>
      <c r="P178" s="15"/>
      <c r="Q178" s="15">
        <f t="shared" si="43"/>
        <v>0</v>
      </c>
      <c r="R178" s="15"/>
      <c r="S178" s="15">
        <f t="shared" si="44"/>
        <v>0</v>
      </c>
      <c r="T178" s="15"/>
      <c r="U178" s="15">
        <f t="shared" si="45"/>
        <v>0</v>
      </c>
      <c r="V178" s="15">
        <f t="shared" si="39"/>
        <v>0</v>
      </c>
      <c r="W178" s="17"/>
      <c r="X178" s="17"/>
      <c r="Y178" s="18">
        <v>2.0499999999999998</v>
      </c>
      <c r="Z178" s="1">
        <f t="shared" si="46"/>
        <v>0</v>
      </c>
      <c r="AA178" s="21"/>
      <c r="AC178" s="21"/>
      <c r="AE178" s="19"/>
      <c r="AF178" s="20">
        <f>SUMIF('[1]G-Chart'!G:G,[1]Capacity!D178,'[1]G-Chart'!L:L)</f>
        <v>96</v>
      </c>
      <c r="AG178" s="2">
        <f t="shared" si="47"/>
        <v>0</v>
      </c>
      <c r="AH178" s="2">
        <f t="shared" si="48"/>
        <v>0</v>
      </c>
      <c r="AI178" s="2">
        <f t="shared" si="54"/>
        <v>0</v>
      </c>
      <c r="AJ178" s="1">
        <f t="shared" si="49"/>
        <v>0</v>
      </c>
      <c r="AK178" s="1">
        <f t="shared" si="50"/>
        <v>0</v>
      </c>
      <c r="AL178" s="1">
        <f t="shared" si="51"/>
        <v>0</v>
      </c>
      <c r="AM178" s="1">
        <f t="shared" si="55"/>
        <v>0</v>
      </c>
    </row>
    <row r="179" spans="1:39" x14ac:dyDescent="0.3">
      <c r="A179" s="12">
        <v>177</v>
      </c>
      <c r="B179" s="12" t="s">
        <v>26</v>
      </c>
      <c r="C179" s="13" t="s">
        <v>479</v>
      </c>
      <c r="D179" s="13" t="s">
        <v>480</v>
      </c>
      <c r="E179" s="14" t="s">
        <v>481</v>
      </c>
      <c r="F179" s="15">
        <v>0</v>
      </c>
      <c r="G179" s="16">
        <f t="shared" si="52"/>
        <v>2</v>
      </c>
      <c r="H179" s="15"/>
      <c r="I179" s="15">
        <f t="shared" si="40"/>
        <v>0</v>
      </c>
      <c r="J179" s="15">
        <v>1</v>
      </c>
      <c r="K179" s="15">
        <f t="shared" si="53"/>
        <v>0</v>
      </c>
      <c r="L179" s="15">
        <v>1</v>
      </c>
      <c r="M179" s="15">
        <f t="shared" si="41"/>
        <v>0</v>
      </c>
      <c r="N179" s="15"/>
      <c r="O179" s="15">
        <f t="shared" si="42"/>
        <v>0</v>
      </c>
      <c r="P179" s="15"/>
      <c r="Q179" s="15">
        <f t="shared" si="43"/>
        <v>0</v>
      </c>
      <c r="R179" s="15"/>
      <c r="S179" s="15">
        <f t="shared" si="44"/>
        <v>0</v>
      </c>
      <c r="T179" s="15"/>
      <c r="U179" s="15">
        <f t="shared" si="45"/>
        <v>0</v>
      </c>
      <c r="V179" s="15">
        <f t="shared" si="39"/>
        <v>0</v>
      </c>
      <c r="W179" s="17"/>
      <c r="X179" s="17"/>
      <c r="Y179" s="18">
        <v>0.128</v>
      </c>
      <c r="Z179" s="1">
        <f t="shared" si="46"/>
        <v>0</v>
      </c>
      <c r="AA179" s="21"/>
      <c r="AC179" s="21"/>
      <c r="AE179" s="19"/>
      <c r="AF179" s="20">
        <f>SUMIF('[1]G-Chart'!G:G,[1]Capacity!D179,'[1]G-Chart'!L:L)</f>
        <v>2022</v>
      </c>
      <c r="AG179" s="2">
        <f t="shared" si="47"/>
        <v>2022</v>
      </c>
      <c r="AH179" s="2">
        <f t="shared" si="48"/>
        <v>2022</v>
      </c>
      <c r="AI179" s="2">
        <f t="shared" si="54"/>
        <v>0</v>
      </c>
      <c r="AJ179" s="1">
        <f t="shared" si="49"/>
        <v>0</v>
      </c>
      <c r="AK179" s="1">
        <f t="shared" si="50"/>
        <v>0</v>
      </c>
      <c r="AL179" s="1">
        <f t="shared" si="51"/>
        <v>0</v>
      </c>
      <c r="AM179" s="1">
        <f t="shared" si="55"/>
        <v>4044</v>
      </c>
    </row>
    <row r="180" spans="1:39" x14ac:dyDescent="0.3">
      <c r="A180" s="12">
        <v>178</v>
      </c>
      <c r="B180" s="12" t="s">
        <v>236</v>
      </c>
      <c r="C180" s="13" t="s">
        <v>482</v>
      </c>
      <c r="D180" s="13" t="s">
        <v>482</v>
      </c>
      <c r="E180" s="14" t="s">
        <v>483</v>
      </c>
      <c r="F180" s="15">
        <v>0</v>
      </c>
      <c r="G180" s="16">
        <f t="shared" si="52"/>
        <v>2.5</v>
      </c>
      <c r="H180" s="15"/>
      <c r="I180" s="15">
        <f t="shared" si="40"/>
        <v>0</v>
      </c>
      <c r="J180" s="15">
        <v>1</v>
      </c>
      <c r="K180" s="15">
        <f t="shared" si="53"/>
        <v>0</v>
      </c>
      <c r="L180" s="15"/>
      <c r="M180" s="15">
        <f t="shared" si="41"/>
        <v>0</v>
      </c>
      <c r="N180" s="15"/>
      <c r="O180" s="15">
        <f t="shared" si="42"/>
        <v>0</v>
      </c>
      <c r="P180" s="15">
        <v>1</v>
      </c>
      <c r="Q180" s="15">
        <f t="shared" si="43"/>
        <v>0</v>
      </c>
      <c r="R180" s="15"/>
      <c r="S180" s="15">
        <f t="shared" si="44"/>
        <v>0</v>
      </c>
      <c r="T180" s="15">
        <v>0.5</v>
      </c>
      <c r="U180" s="15">
        <f t="shared" si="45"/>
        <v>0</v>
      </c>
      <c r="V180" s="15">
        <f t="shared" si="39"/>
        <v>0</v>
      </c>
      <c r="W180" s="17"/>
      <c r="X180" s="17"/>
      <c r="Y180" s="18">
        <v>6.3E-2</v>
      </c>
      <c r="Z180" s="1">
        <f t="shared" si="46"/>
        <v>0</v>
      </c>
      <c r="AA180" s="21"/>
      <c r="AC180" s="21"/>
      <c r="AE180" s="19"/>
      <c r="AF180" s="20">
        <f>SUMIF('[1]G-Chart'!G:G,[1]Capacity!D180,'[1]G-Chart'!L:L)</f>
        <v>0</v>
      </c>
      <c r="AG180" s="2">
        <f t="shared" si="47"/>
        <v>0</v>
      </c>
      <c r="AH180" s="2">
        <f t="shared" si="48"/>
        <v>0</v>
      </c>
      <c r="AI180" s="2">
        <f t="shared" si="54"/>
        <v>0</v>
      </c>
      <c r="AJ180" s="1">
        <f t="shared" si="49"/>
        <v>0</v>
      </c>
      <c r="AK180" s="1">
        <f t="shared" si="50"/>
        <v>0</v>
      </c>
      <c r="AL180" s="1">
        <f t="shared" si="51"/>
        <v>0</v>
      </c>
      <c r="AM180" s="1">
        <f t="shared" si="55"/>
        <v>0</v>
      </c>
    </row>
    <row r="181" spans="1:39" x14ac:dyDescent="0.3">
      <c r="A181" s="12">
        <v>179</v>
      </c>
      <c r="B181" s="12" t="s">
        <v>236</v>
      </c>
      <c r="C181" s="13" t="s">
        <v>484</v>
      </c>
      <c r="D181" s="13" t="s">
        <v>484</v>
      </c>
      <c r="E181" s="14" t="s">
        <v>485</v>
      </c>
      <c r="F181" s="15">
        <v>0</v>
      </c>
      <c r="G181" s="16">
        <f t="shared" si="52"/>
        <v>2.5</v>
      </c>
      <c r="H181" s="15"/>
      <c r="I181" s="15">
        <f t="shared" si="40"/>
        <v>0</v>
      </c>
      <c r="J181" s="15">
        <v>1</v>
      </c>
      <c r="K181" s="15">
        <f t="shared" si="53"/>
        <v>0</v>
      </c>
      <c r="L181" s="15"/>
      <c r="M181" s="15">
        <f t="shared" si="41"/>
        <v>0</v>
      </c>
      <c r="N181" s="15"/>
      <c r="O181" s="15">
        <f t="shared" si="42"/>
        <v>0</v>
      </c>
      <c r="P181" s="15">
        <v>1</v>
      </c>
      <c r="Q181" s="15">
        <f t="shared" si="43"/>
        <v>0</v>
      </c>
      <c r="R181" s="15"/>
      <c r="S181" s="15">
        <f t="shared" si="44"/>
        <v>0</v>
      </c>
      <c r="T181" s="15">
        <v>0.5</v>
      </c>
      <c r="U181" s="15">
        <f t="shared" si="45"/>
        <v>0</v>
      </c>
      <c r="V181" s="15">
        <f t="shared" ref="V181:V245" si="59">F181*G181</f>
        <v>0</v>
      </c>
      <c r="W181" s="17"/>
      <c r="X181" s="17"/>
      <c r="Y181" s="18">
        <v>6.3E-2</v>
      </c>
      <c r="Z181" s="1">
        <f t="shared" si="46"/>
        <v>0</v>
      </c>
      <c r="AA181" s="21"/>
      <c r="AC181" s="21"/>
      <c r="AE181" s="19"/>
      <c r="AF181" s="20">
        <f>SUMIF('[1]G-Chart'!G:G,[1]Capacity!D181,'[1]G-Chart'!L:L)</f>
        <v>0</v>
      </c>
      <c r="AG181" s="2">
        <f t="shared" si="47"/>
        <v>0</v>
      </c>
      <c r="AH181" s="2">
        <f t="shared" si="48"/>
        <v>0</v>
      </c>
      <c r="AI181" s="2">
        <f t="shared" si="54"/>
        <v>0</v>
      </c>
      <c r="AJ181" s="1">
        <f t="shared" si="49"/>
        <v>0</v>
      </c>
      <c r="AK181" s="1">
        <f t="shared" si="50"/>
        <v>0</v>
      </c>
      <c r="AL181" s="1">
        <f t="shared" si="51"/>
        <v>0</v>
      </c>
      <c r="AM181" s="1">
        <f t="shared" si="55"/>
        <v>0</v>
      </c>
    </row>
    <row r="182" spans="1:39" x14ac:dyDescent="0.3">
      <c r="A182" s="12">
        <v>180</v>
      </c>
      <c r="B182" s="12" t="s">
        <v>236</v>
      </c>
      <c r="C182" s="13" t="s">
        <v>486</v>
      </c>
      <c r="D182" s="13" t="s">
        <v>486</v>
      </c>
      <c r="E182" s="14" t="s">
        <v>487</v>
      </c>
      <c r="F182" s="15">
        <v>0</v>
      </c>
      <c r="G182" s="16">
        <f t="shared" si="52"/>
        <v>3</v>
      </c>
      <c r="H182" s="15"/>
      <c r="I182" s="15">
        <f t="shared" si="40"/>
        <v>0</v>
      </c>
      <c r="J182" s="15">
        <v>1</v>
      </c>
      <c r="K182" s="15">
        <f t="shared" si="53"/>
        <v>0</v>
      </c>
      <c r="L182" s="15"/>
      <c r="M182" s="15">
        <f t="shared" si="41"/>
        <v>0</v>
      </c>
      <c r="N182" s="15"/>
      <c r="O182" s="15">
        <f t="shared" si="42"/>
        <v>0</v>
      </c>
      <c r="P182" s="15"/>
      <c r="Q182" s="15">
        <f t="shared" si="43"/>
        <v>0</v>
      </c>
      <c r="R182" s="15"/>
      <c r="S182" s="15">
        <f t="shared" si="44"/>
        <v>0</v>
      </c>
      <c r="T182" s="15">
        <v>2</v>
      </c>
      <c r="U182" s="15">
        <f t="shared" si="45"/>
        <v>0</v>
      </c>
      <c r="V182" s="15">
        <f t="shared" si="59"/>
        <v>0</v>
      </c>
      <c r="W182" s="17"/>
      <c r="X182" s="17"/>
      <c r="Y182" s="18">
        <v>5.0999999999999997E-2</v>
      </c>
      <c r="Z182" s="1">
        <f t="shared" si="46"/>
        <v>0</v>
      </c>
      <c r="AA182" s="21"/>
      <c r="AC182" s="21"/>
      <c r="AE182" s="19"/>
      <c r="AF182" s="20">
        <f>SUMIF('[1]G-Chart'!G:G,[1]Capacity!D182,'[1]G-Chart'!L:L)</f>
        <v>0</v>
      </c>
      <c r="AG182" s="2">
        <f t="shared" si="47"/>
        <v>0</v>
      </c>
      <c r="AH182" s="2">
        <f t="shared" si="48"/>
        <v>0</v>
      </c>
      <c r="AI182" s="2">
        <f t="shared" si="54"/>
        <v>0</v>
      </c>
      <c r="AJ182" s="1">
        <f t="shared" si="49"/>
        <v>0</v>
      </c>
      <c r="AK182" s="1">
        <f t="shared" si="50"/>
        <v>0</v>
      </c>
      <c r="AL182" s="1">
        <f t="shared" si="51"/>
        <v>0</v>
      </c>
      <c r="AM182" s="1">
        <f t="shared" si="55"/>
        <v>0</v>
      </c>
    </row>
    <row r="183" spans="1:39" x14ac:dyDescent="0.3">
      <c r="A183" s="12">
        <v>181</v>
      </c>
      <c r="B183" s="12" t="s">
        <v>236</v>
      </c>
      <c r="C183" s="13" t="s">
        <v>488</v>
      </c>
      <c r="D183" s="13" t="s">
        <v>488</v>
      </c>
      <c r="E183" s="14" t="s">
        <v>489</v>
      </c>
      <c r="F183" s="15">
        <v>0</v>
      </c>
      <c r="G183" s="16">
        <f t="shared" si="52"/>
        <v>2</v>
      </c>
      <c r="H183" s="15"/>
      <c r="I183" s="15">
        <f t="shared" si="40"/>
        <v>0</v>
      </c>
      <c r="J183" s="15"/>
      <c r="K183" s="15">
        <f t="shared" si="53"/>
        <v>0</v>
      </c>
      <c r="L183" s="15"/>
      <c r="M183" s="15">
        <f t="shared" si="41"/>
        <v>0</v>
      </c>
      <c r="N183" s="15"/>
      <c r="O183" s="15">
        <f t="shared" si="42"/>
        <v>0</v>
      </c>
      <c r="P183" s="15"/>
      <c r="Q183" s="15">
        <f t="shared" si="43"/>
        <v>0</v>
      </c>
      <c r="R183" s="15"/>
      <c r="S183" s="15">
        <f t="shared" si="44"/>
        <v>0</v>
      </c>
      <c r="T183" s="15">
        <v>2</v>
      </c>
      <c r="U183" s="15">
        <f t="shared" si="45"/>
        <v>0</v>
      </c>
      <c r="V183" s="15">
        <f t="shared" si="59"/>
        <v>0</v>
      </c>
      <c r="W183" s="17"/>
      <c r="X183" s="17"/>
      <c r="Y183" s="18">
        <v>2.5999999999999999E-2</v>
      </c>
      <c r="Z183" s="1">
        <f t="shared" si="46"/>
        <v>0</v>
      </c>
      <c r="AA183" s="21"/>
      <c r="AC183" s="21"/>
      <c r="AE183" s="19"/>
      <c r="AF183" s="20">
        <f>SUMIF('[1]G-Chart'!G:G,[1]Capacity!D183,'[1]G-Chart'!L:L)</f>
        <v>0</v>
      </c>
      <c r="AG183" s="2">
        <f t="shared" si="47"/>
        <v>0</v>
      </c>
      <c r="AH183" s="2">
        <f t="shared" si="48"/>
        <v>0</v>
      </c>
      <c r="AI183" s="2">
        <f t="shared" si="54"/>
        <v>0</v>
      </c>
      <c r="AJ183" s="1">
        <f t="shared" si="49"/>
        <v>0</v>
      </c>
      <c r="AK183" s="1">
        <f t="shared" si="50"/>
        <v>0</v>
      </c>
      <c r="AL183" s="1">
        <f t="shared" si="51"/>
        <v>0</v>
      </c>
      <c r="AM183" s="1">
        <f t="shared" si="55"/>
        <v>0</v>
      </c>
    </row>
    <row r="184" spans="1:39" x14ac:dyDescent="0.3">
      <c r="A184" s="12">
        <v>182</v>
      </c>
      <c r="B184" s="12" t="s">
        <v>236</v>
      </c>
      <c r="C184" s="13" t="s">
        <v>490</v>
      </c>
      <c r="D184" s="13" t="s">
        <v>490</v>
      </c>
      <c r="E184" s="14"/>
      <c r="F184" s="15">
        <v>0</v>
      </c>
      <c r="G184" s="16">
        <f t="shared" si="52"/>
        <v>0</v>
      </c>
      <c r="H184" s="15"/>
      <c r="I184" s="15">
        <f t="shared" si="40"/>
        <v>0</v>
      </c>
      <c r="J184" s="15"/>
      <c r="K184" s="15">
        <f t="shared" si="53"/>
        <v>0</v>
      </c>
      <c r="L184" s="15"/>
      <c r="M184" s="15">
        <f t="shared" si="41"/>
        <v>0</v>
      </c>
      <c r="N184" s="15"/>
      <c r="O184" s="15">
        <f t="shared" si="42"/>
        <v>0</v>
      </c>
      <c r="P184" s="15"/>
      <c r="Q184" s="15">
        <f t="shared" si="43"/>
        <v>0</v>
      </c>
      <c r="R184" s="15"/>
      <c r="S184" s="15">
        <f t="shared" si="44"/>
        <v>0</v>
      </c>
      <c r="T184" s="15"/>
      <c r="U184" s="15">
        <f t="shared" si="45"/>
        <v>0</v>
      </c>
      <c r="V184" s="15">
        <f t="shared" si="59"/>
        <v>0</v>
      </c>
      <c r="W184" s="17"/>
      <c r="X184" s="17"/>
      <c r="Y184" s="18">
        <v>1.02</v>
      </c>
      <c r="Z184" s="1">
        <f t="shared" si="46"/>
        <v>0</v>
      </c>
      <c r="AA184" s="21"/>
      <c r="AC184" s="21"/>
      <c r="AE184" s="19"/>
      <c r="AF184" s="20">
        <f>SUMIF('[1]G-Chart'!G:G,[1]Capacity!D184,'[1]G-Chart'!L:L)</f>
        <v>0</v>
      </c>
      <c r="AG184" s="2">
        <f t="shared" si="47"/>
        <v>0</v>
      </c>
      <c r="AH184" s="2">
        <f t="shared" si="48"/>
        <v>0</v>
      </c>
      <c r="AI184" s="2">
        <f t="shared" si="54"/>
        <v>0</v>
      </c>
      <c r="AJ184" s="1">
        <f t="shared" si="49"/>
        <v>0</v>
      </c>
      <c r="AK184" s="1">
        <f t="shared" si="50"/>
        <v>0</v>
      </c>
      <c r="AL184" s="1">
        <f t="shared" si="51"/>
        <v>0</v>
      </c>
      <c r="AM184" s="1">
        <f t="shared" si="55"/>
        <v>0</v>
      </c>
    </row>
    <row r="185" spans="1:39" x14ac:dyDescent="0.3">
      <c r="A185" s="12">
        <v>183</v>
      </c>
      <c r="B185" s="12" t="s">
        <v>236</v>
      </c>
      <c r="C185" s="13" t="s">
        <v>491</v>
      </c>
      <c r="D185" s="13" t="s">
        <v>491</v>
      </c>
      <c r="E185" s="14"/>
      <c r="F185" s="15">
        <v>0</v>
      </c>
      <c r="G185" s="16">
        <f t="shared" si="52"/>
        <v>0</v>
      </c>
      <c r="H185" s="15"/>
      <c r="I185" s="15">
        <f t="shared" si="40"/>
        <v>0</v>
      </c>
      <c r="J185" s="15"/>
      <c r="K185" s="15">
        <f t="shared" si="53"/>
        <v>0</v>
      </c>
      <c r="L185" s="15"/>
      <c r="M185" s="15">
        <f t="shared" si="41"/>
        <v>0</v>
      </c>
      <c r="N185" s="15"/>
      <c r="O185" s="15">
        <f t="shared" si="42"/>
        <v>0</v>
      </c>
      <c r="P185" s="15"/>
      <c r="Q185" s="15">
        <f t="shared" si="43"/>
        <v>0</v>
      </c>
      <c r="R185" s="15"/>
      <c r="S185" s="15">
        <f t="shared" si="44"/>
        <v>0</v>
      </c>
      <c r="T185" s="15"/>
      <c r="U185" s="15">
        <f t="shared" si="45"/>
        <v>0</v>
      </c>
      <c r="V185" s="15">
        <f t="shared" si="59"/>
        <v>0</v>
      </c>
      <c r="W185" s="17"/>
      <c r="X185" s="17"/>
      <c r="Y185" s="18">
        <v>0.77700000000000002</v>
      </c>
      <c r="Z185" s="1">
        <f t="shared" si="46"/>
        <v>0</v>
      </c>
      <c r="AA185" s="21"/>
      <c r="AC185" s="21"/>
      <c r="AE185" s="19"/>
      <c r="AF185" s="20">
        <f>SUMIF('[1]G-Chart'!G:G,[1]Capacity!D185,'[1]G-Chart'!L:L)</f>
        <v>0</v>
      </c>
      <c r="AG185" s="2">
        <f t="shared" si="47"/>
        <v>0</v>
      </c>
      <c r="AH185" s="2">
        <f t="shared" si="48"/>
        <v>0</v>
      </c>
      <c r="AI185" s="2">
        <f t="shared" si="54"/>
        <v>0</v>
      </c>
      <c r="AJ185" s="1">
        <f t="shared" si="49"/>
        <v>0</v>
      </c>
      <c r="AK185" s="1">
        <f t="shared" si="50"/>
        <v>0</v>
      </c>
      <c r="AL185" s="1">
        <f t="shared" si="51"/>
        <v>0</v>
      </c>
      <c r="AM185" s="1">
        <f t="shared" si="55"/>
        <v>0</v>
      </c>
    </row>
    <row r="186" spans="1:39" x14ac:dyDescent="0.3">
      <c r="A186" s="12">
        <v>184</v>
      </c>
      <c r="B186" s="12" t="s">
        <v>445</v>
      </c>
      <c r="C186" s="13" t="s">
        <v>492</v>
      </c>
      <c r="D186" s="13" t="s">
        <v>493</v>
      </c>
      <c r="E186" s="14"/>
      <c r="F186" s="15">
        <f t="shared" ref="F186:F191" si="60">AB186</f>
        <v>0</v>
      </c>
      <c r="G186" s="16">
        <f t="shared" si="52"/>
        <v>0</v>
      </c>
      <c r="H186" s="15"/>
      <c r="I186" s="15">
        <f t="shared" si="40"/>
        <v>0</v>
      </c>
      <c r="J186" s="15"/>
      <c r="K186" s="15">
        <f t="shared" si="53"/>
        <v>0</v>
      </c>
      <c r="L186" s="15"/>
      <c r="M186" s="15">
        <f t="shared" si="41"/>
        <v>0</v>
      </c>
      <c r="N186" s="15"/>
      <c r="O186" s="15">
        <f t="shared" si="42"/>
        <v>0</v>
      </c>
      <c r="P186" s="15"/>
      <c r="Q186" s="15">
        <f t="shared" si="43"/>
        <v>0</v>
      </c>
      <c r="R186" s="15"/>
      <c r="S186" s="15">
        <f t="shared" si="44"/>
        <v>0</v>
      </c>
      <c r="T186" s="15"/>
      <c r="U186" s="15">
        <f t="shared" si="45"/>
        <v>0</v>
      </c>
      <c r="V186" s="15">
        <f t="shared" si="59"/>
        <v>0</v>
      </c>
      <c r="W186" s="17"/>
      <c r="X186" s="17"/>
      <c r="Y186" s="18">
        <v>0.56399999999999995</v>
      </c>
      <c r="Z186" s="1">
        <f t="shared" si="46"/>
        <v>0</v>
      </c>
      <c r="AA186" s="21">
        <v>1</v>
      </c>
      <c r="AB186" s="1">
        <f t="shared" ref="AB186:AB191" si="61">AD186*AA186</f>
        <v>0</v>
      </c>
      <c r="AC186" s="30"/>
      <c r="AD186" s="21"/>
      <c r="AE186" s="46"/>
      <c r="AF186" s="20">
        <f>SUMIF('[1]G-Chart'!G:G,[1]Capacity!D186,'[1]G-Chart'!L:L)</f>
        <v>0</v>
      </c>
      <c r="AG186" s="2">
        <f t="shared" si="47"/>
        <v>0</v>
      </c>
      <c r="AH186" s="2">
        <f t="shared" si="48"/>
        <v>0</v>
      </c>
      <c r="AI186" s="2">
        <f t="shared" si="54"/>
        <v>0</v>
      </c>
      <c r="AJ186" s="1">
        <f t="shared" si="49"/>
        <v>0</v>
      </c>
      <c r="AK186" s="1">
        <f t="shared" si="50"/>
        <v>0</v>
      </c>
      <c r="AL186" s="1">
        <f t="shared" si="51"/>
        <v>0</v>
      </c>
      <c r="AM186" s="1">
        <f t="shared" si="55"/>
        <v>0</v>
      </c>
    </row>
    <row r="187" spans="1:39" x14ac:dyDescent="0.3">
      <c r="A187" s="12">
        <v>185</v>
      </c>
      <c r="B187" s="12" t="s">
        <v>445</v>
      </c>
      <c r="C187" s="13" t="s">
        <v>494</v>
      </c>
      <c r="D187" s="13" t="s">
        <v>494</v>
      </c>
      <c r="E187" s="14" t="s">
        <v>495</v>
      </c>
      <c r="F187" s="15">
        <f t="shared" si="60"/>
        <v>0</v>
      </c>
      <c r="G187" s="16">
        <f t="shared" si="52"/>
        <v>0</v>
      </c>
      <c r="H187" s="15"/>
      <c r="I187" s="15">
        <f t="shared" si="40"/>
        <v>0</v>
      </c>
      <c r="J187" s="15"/>
      <c r="K187" s="15">
        <f t="shared" si="53"/>
        <v>0</v>
      </c>
      <c r="L187" s="15"/>
      <c r="M187" s="15">
        <f t="shared" si="41"/>
        <v>0</v>
      </c>
      <c r="N187" s="15"/>
      <c r="O187" s="15">
        <f t="shared" si="42"/>
        <v>0</v>
      </c>
      <c r="P187" s="15"/>
      <c r="Q187" s="15">
        <f t="shared" si="43"/>
        <v>0</v>
      </c>
      <c r="R187" s="15"/>
      <c r="S187" s="15">
        <f t="shared" si="44"/>
        <v>0</v>
      </c>
      <c r="T187" s="15"/>
      <c r="U187" s="15">
        <f t="shared" si="45"/>
        <v>0</v>
      </c>
      <c r="V187" s="15">
        <f t="shared" si="59"/>
        <v>0</v>
      </c>
      <c r="W187" s="17"/>
      <c r="X187" s="17"/>
      <c r="Y187" s="18">
        <v>6.4000000000000001E-2</v>
      </c>
      <c r="Z187" s="1">
        <f t="shared" si="46"/>
        <v>0</v>
      </c>
      <c r="AA187" s="21"/>
      <c r="AB187" s="1">
        <f t="shared" si="61"/>
        <v>0</v>
      </c>
      <c r="AC187" s="21"/>
      <c r="AE187" s="19"/>
      <c r="AF187" s="20">
        <f>SUMIF('[1]G-Chart'!G:G,[1]Capacity!D187,'[1]G-Chart'!L:L)</f>
        <v>0</v>
      </c>
      <c r="AG187" s="2">
        <f t="shared" si="47"/>
        <v>0</v>
      </c>
      <c r="AH187" s="2">
        <f t="shared" si="48"/>
        <v>0</v>
      </c>
      <c r="AI187" s="2">
        <f t="shared" si="54"/>
        <v>0</v>
      </c>
      <c r="AJ187" s="1">
        <f t="shared" si="49"/>
        <v>0</v>
      </c>
      <c r="AK187" s="1">
        <f t="shared" si="50"/>
        <v>0</v>
      </c>
      <c r="AL187" s="1">
        <f t="shared" si="51"/>
        <v>0</v>
      </c>
      <c r="AM187" s="1">
        <f t="shared" si="55"/>
        <v>0</v>
      </c>
    </row>
    <row r="188" spans="1:39" x14ac:dyDescent="0.3">
      <c r="A188" s="12">
        <v>186</v>
      </c>
      <c r="B188" s="12" t="s">
        <v>445</v>
      </c>
      <c r="C188" s="13" t="s">
        <v>496</v>
      </c>
      <c r="D188" s="13" t="s">
        <v>496</v>
      </c>
      <c r="E188" s="14" t="s">
        <v>497</v>
      </c>
      <c r="F188" s="15">
        <f t="shared" si="60"/>
        <v>0</v>
      </c>
      <c r="G188" s="16">
        <f t="shared" si="52"/>
        <v>0</v>
      </c>
      <c r="H188" s="15"/>
      <c r="I188" s="15">
        <f t="shared" si="40"/>
        <v>0</v>
      </c>
      <c r="J188" s="15"/>
      <c r="K188" s="15">
        <f t="shared" si="53"/>
        <v>0</v>
      </c>
      <c r="L188" s="15"/>
      <c r="M188" s="15">
        <f t="shared" si="41"/>
        <v>0</v>
      </c>
      <c r="N188" s="15"/>
      <c r="O188" s="15">
        <f t="shared" si="42"/>
        <v>0</v>
      </c>
      <c r="P188" s="15"/>
      <c r="Q188" s="15">
        <f t="shared" si="43"/>
        <v>0</v>
      </c>
      <c r="R188" s="15"/>
      <c r="S188" s="15">
        <f t="shared" si="44"/>
        <v>0</v>
      </c>
      <c r="T188" s="15"/>
      <c r="U188" s="15">
        <f t="shared" si="45"/>
        <v>0</v>
      </c>
      <c r="V188" s="15">
        <f t="shared" si="59"/>
        <v>0</v>
      </c>
      <c r="W188" s="17"/>
      <c r="X188" s="17"/>
      <c r="Y188" s="18">
        <v>6.5000000000000002E-2</v>
      </c>
      <c r="Z188" s="1">
        <f t="shared" si="46"/>
        <v>0</v>
      </c>
      <c r="AA188" s="21"/>
      <c r="AB188" s="1">
        <f t="shared" si="61"/>
        <v>0</v>
      </c>
      <c r="AC188" s="21"/>
      <c r="AE188" s="19"/>
      <c r="AF188" s="20">
        <f>SUMIF('[1]G-Chart'!G:G,[1]Capacity!D188,'[1]G-Chart'!L:L)</f>
        <v>0</v>
      </c>
      <c r="AG188" s="2">
        <f t="shared" si="47"/>
        <v>0</v>
      </c>
      <c r="AH188" s="2">
        <f t="shared" si="48"/>
        <v>0</v>
      </c>
      <c r="AI188" s="2">
        <f t="shared" si="54"/>
        <v>0</v>
      </c>
      <c r="AJ188" s="1">
        <f t="shared" si="49"/>
        <v>0</v>
      </c>
      <c r="AK188" s="1">
        <f t="shared" si="50"/>
        <v>0</v>
      </c>
      <c r="AL188" s="1">
        <f t="shared" si="51"/>
        <v>0</v>
      </c>
      <c r="AM188" s="1">
        <f t="shared" si="55"/>
        <v>0</v>
      </c>
    </row>
    <row r="189" spans="1:39" x14ac:dyDescent="0.3">
      <c r="A189" s="12">
        <v>187</v>
      </c>
      <c r="B189" s="12" t="s">
        <v>445</v>
      </c>
      <c r="C189" s="13" t="s">
        <v>498</v>
      </c>
      <c r="D189" s="13" t="s">
        <v>498</v>
      </c>
      <c r="E189" s="14" t="s">
        <v>499</v>
      </c>
      <c r="F189" s="15">
        <f t="shared" si="60"/>
        <v>0</v>
      </c>
      <c r="G189" s="16">
        <f t="shared" si="52"/>
        <v>2</v>
      </c>
      <c r="H189" s="15"/>
      <c r="I189" s="15">
        <f t="shared" si="40"/>
        <v>0</v>
      </c>
      <c r="J189" s="15"/>
      <c r="K189" s="15">
        <f t="shared" si="53"/>
        <v>0</v>
      </c>
      <c r="L189" s="15"/>
      <c r="M189" s="15">
        <f t="shared" si="41"/>
        <v>0</v>
      </c>
      <c r="N189" s="15">
        <v>1</v>
      </c>
      <c r="O189" s="15">
        <f t="shared" si="42"/>
        <v>0</v>
      </c>
      <c r="P189" s="15"/>
      <c r="Q189" s="15">
        <f t="shared" si="43"/>
        <v>0</v>
      </c>
      <c r="R189" s="15"/>
      <c r="S189" s="15">
        <f t="shared" si="44"/>
        <v>0</v>
      </c>
      <c r="T189" s="15">
        <v>1</v>
      </c>
      <c r="U189" s="15">
        <f t="shared" si="45"/>
        <v>0</v>
      </c>
      <c r="V189" s="15">
        <f t="shared" si="59"/>
        <v>0</v>
      </c>
      <c r="W189" s="17"/>
      <c r="X189" s="17"/>
      <c r="Y189" s="18">
        <v>4.1000000000000002E-2</v>
      </c>
      <c r="Z189" s="1">
        <f t="shared" si="46"/>
        <v>0</v>
      </c>
      <c r="AA189" s="21"/>
      <c r="AB189" s="1">
        <f t="shared" si="61"/>
        <v>0</v>
      </c>
      <c r="AC189" s="21"/>
      <c r="AE189" s="19"/>
      <c r="AF189" s="20">
        <f>SUMIF('[1]G-Chart'!G:G,[1]Capacity!D189,'[1]G-Chart'!L:L)</f>
        <v>0</v>
      </c>
      <c r="AG189" s="2">
        <f t="shared" si="47"/>
        <v>0</v>
      </c>
      <c r="AH189" s="2">
        <f t="shared" si="48"/>
        <v>0</v>
      </c>
      <c r="AI189" s="2">
        <f t="shared" si="54"/>
        <v>0</v>
      </c>
      <c r="AJ189" s="1">
        <f t="shared" si="49"/>
        <v>0</v>
      </c>
      <c r="AK189" s="1">
        <f t="shared" si="50"/>
        <v>0</v>
      </c>
      <c r="AL189" s="1">
        <f t="shared" si="51"/>
        <v>0</v>
      </c>
      <c r="AM189" s="1">
        <f t="shared" si="55"/>
        <v>0</v>
      </c>
    </row>
    <row r="190" spans="1:39" x14ac:dyDescent="0.3">
      <c r="A190" s="12">
        <v>188</v>
      </c>
      <c r="B190" s="12" t="s">
        <v>445</v>
      </c>
      <c r="C190" s="13" t="s">
        <v>500</v>
      </c>
      <c r="D190" s="13" t="s">
        <v>500</v>
      </c>
      <c r="E190" s="14" t="s">
        <v>501</v>
      </c>
      <c r="F190" s="15">
        <f t="shared" si="60"/>
        <v>0</v>
      </c>
      <c r="G190" s="16">
        <f t="shared" si="52"/>
        <v>1</v>
      </c>
      <c r="H190" s="15"/>
      <c r="I190" s="15">
        <f t="shared" si="40"/>
        <v>0</v>
      </c>
      <c r="J190" s="15"/>
      <c r="K190" s="15">
        <f t="shared" si="53"/>
        <v>0</v>
      </c>
      <c r="L190" s="15"/>
      <c r="M190" s="15">
        <f t="shared" si="41"/>
        <v>0</v>
      </c>
      <c r="N190" s="15"/>
      <c r="O190" s="15">
        <f t="shared" si="42"/>
        <v>0</v>
      </c>
      <c r="P190" s="15">
        <v>1</v>
      </c>
      <c r="Q190" s="15">
        <f t="shared" si="43"/>
        <v>0</v>
      </c>
      <c r="R190" s="15"/>
      <c r="S190" s="15">
        <f t="shared" si="44"/>
        <v>0</v>
      </c>
      <c r="T190" s="15"/>
      <c r="U190" s="15">
        <f t="shared" si="45"/>
        <v>0</v>
      </c>
      <c r="V190" s="15">
        <f t="shared" si="59"/>
        <v>0</v>
      </c>
      <c r="W190" s="17"/>
      <c r="X190" s="17"/>
      <c r="Y190" s="18">
        <v>0.223</v>
      </c>
      <c r="Z190" s="1">
        <f t="shared" si="46"/>
        <v>0</v>
      </c>
      <c r="AA190" s="21"/>
      <c r="AB190" s="1">
        <f t="shared" si="61"/>
        <v>0</v>
      </c>
      <c r="AC190" s="21"/>
      <c r="AE190" s="19"/>
      <c r="AF190" s="20">
        <f>SUMIF('[1]G-Chart'!G:G,[1]Capacity!D190,'[1]G-Chart'!L:L)</f>
        <v>0</v>
      </c>
      <c r="AG190" s="2">
        <f t="shared" si="47"/>
        <v>0</v>
      </c>
      <c r="AH190" s="2">
        <f t="shared" si="48"/>
        <v>0</v>
      </c>
      <c r="AI190" s="2">
        <f t="shared" si="54"/>
        <v>0</v>
      </c>
      <c r="AJ190" s="1">
        <f t="shared" si="49"/>
        <v>0</v>
      </c>
      <c r="AK190" s="1">
        <f t="shared" si="50"/>
        <v>0</v>
      </c>
      <c r="AL190" s="1">
        <f t="shared" si="51"/>
        <v>0</v>
      </c>
      <c r="AM190" s="1">
        <f t="shared" si="55"/>
        <v>0</v>
      </c>
    </row>
    <row r="191" spans="1:39" x14ac:dyDescent="0.3">
      <c r="A191" s="12">
        <v>189</v>
      </c>
      <c r="B191" s="12" t="s">
        <v>445</v>
      </c>
      <c r="C191" s="13" t="s">
        <v>502</v>
      </c>
      <c r="D191" s="13" t="s">
        <v>502</v>
      </c>
      <c r="E191" s="14" t="s">
        <v>503</v>
      </c>
      <c r="F191" s="15">
        <f t="shared" si="60"/>
        <v>0</v>
      </c>
      <c r="G191" s="16">
        <f t="shared" si="52"/>
        <v>1</v>
      </c>
      <c r="H191" s="15"/>
      <c r="I191" s="15">
        <f t="shared" si="40"/>
        <v>0</v>
      </c>
      <c r="J191" s="15"/>
      <c r="K191" s="15">
        <f t="shared" si="53"/>
        <v>0</v>
      </c>
      <c r="L191" s="15"/>
      <c r="M191" s="15">
        <f t="shared" si="41"/>
        <v>0</v>
      </c>
      <c r="N191" s="15"/>
      <c r="O191" s="15">
        <f t="shared" si="42"/>
        <v>0</v>
      </c>
      <c r="P191" s="15">
        <v>1</v>
      </c>
      <c r="Q191" s="15">
        <f t="shared" si="43"/>
        <v>0</v>
      </c>
      <c r="R191" s="15"/>
      <c r="S191" s="15">
        <f t="shared" si="44"/>
        <v>0</v>
      </c>
      <c r="T191" s="15"/>
      <c r="U191" s="15">
        <f t="shared" si="45"/>
        <v>0</v>
      </c>
      <c r="V191" s="15">
        <f t="shared" si="59"/>
        <v>0</v>
      </c>
      <c r="W191" s="17"/>
      <c r="X191" s="17"/>
      <c r="Y191" s="18">
        <v>0.378</v>
      </c>
      <c r="Z191" s="1">
        <f t="shared" si="46"/>
        <v>0</v>
      </c>
      <c r="AA191" s="21"/>
      <c r="AB191" s="1">
        <f t="shared" si="61"/>
        <v>0</v>
      </c>
      <c r="AC191" s="21"/>
      <c r="AE191" s="19"/>
      <c r="AF191" s="20">
        <f>SUMIF('[1]G-Chart'!G:G,[1]Capacity!D191,'[1]G-Chart'!L:L)</f>
        <v>0</v>
      </c>
      <c r="AG191" s="2">
        <f t="shared" si="47"/>
        <v>0</v>
      </c>
      <c r="AH191" s="2">
        <f t="shared" si="48"/>
        <v>0</v>
      </c>
      <c r="AI191" s="2">
        <f t="shared" si="54"/>
        <v>0</v>
      </c>
      <c r="AJ191" s="1">
        <f t="shared" si="49"/>
        <v>0</v>
      </c>
      <c r="AK191" s="1">
        <f t="shared" si="50"/>
        <v>0</v>
      </c>
      <c r="AL191" s="1">
        <f t="shared" si="51"/>
        <v>0</v>
      </c>
      <c r="AM191" s="1">
        <f t="shared" si="55"/>
        <v>0</v>
      </c>
    </row>
    <row r="192" spans="1:39" x14ac:dyDescent="0.3">
      <c r="A192" s="12">
        <v>190</v>
      </c>
      <c r="B192" s="12" t="s">
        <v>236</v>
      </c>
      <c r="C192" s="13" t="s">
        <v>504</v>
      </c>
      <c r="D192" s="13" t="s">
        <v>504</v>
      </c>
      <c r="E192" s="14"/>
      <c r="F192" s="15">
        <v>0</v>
      </c>
      <c r="G192" s="16">
        <f t="shared" si="52"/>
        <v>0</v>
      </c>
      <c r="H192" s="15"/>
      <c r="I192" s="15">
        <f t="shared" si="40"/>
        <v>0</v>
      </c>
      <c r="J192" s="15"/>
      <c r="K192" s="15">
        <f t="shared" si="53"/>
        <v>0</v>
      </c>
      <c r="L192" s="15"/>
      <c r="M192" s="15">
        <f t="shared" si="41"/>
        <v>0</v>
      </c>
      <c r="N192" s="15"/>
      <c r="O192" s="15">
        <f t="shared" si="42"/>
        <v>0</v>
      </c>
      <c r="P192" s="15"/>
      <c r="Q192" s="15">
        <f t="shared" si="43"/>
        <v>0</v>
      </c>
      <c r="R192" s="15"/>
      <c r="S192" s="15">
        <f t="shared" si="44"/>
        <v>0</v>
      </c>
      <c r="T192" s="15"/>
      <c r="U192" s="15">
        <f t="shared" si="45"/>
        <v>0</v>
      </c>
      <c r="V192" s="15">
        <f t="shared" si="59"/>
        <v>0</v>
      </c>
      <c r="W192" s="17"/>
      <c r="X192" s="17"/>
      <c r="Y192" s="18">
        <v>0.877</v>
      </c>
      <c r="Z192" s="1">
        <f t="shared" si="46"/>
        <v>0</v>
      </c>
      <c r="AA192" s="21"/>
      <c r="AC192" s="21"/>
      <c r="AE192" s="19"/>
      <c r="AF192" s="20">
        <f>SUMIF('[1]G-Chart'!G:G,[1]Capacity!D192,'[1]G-Chart'!L:L)</f>
        <v>0</v>
      </c>
      <c r="AG192" s="2">
        <f t="shared" si="47"/>
        <v>0</v>
      </c>
      <c r="AH192" s="2">
        <f t="shared" si="48"/>
        <v>0</v>
      </c>
      <c r="AI192" s="2">
        <f t="shared" si="54"/>
        <v>0</v>
      </c>
      <c r="AJ192" s="1">
        <f t="shared" si="49"/>
        <v>0</v>
      </c>
      <c r="AK192" s="1">
        <f t="shared" si="50"/>
        <v>0</v>
      </c>
      <c r="AL192" s="1">
        <f t="shared" si="51"/>
        <v>0</v>
      </c>
      <c r="AM192" s="1">
        <f t="shared" si="55"/>
        <v>0</v>
      </c>
    </row>
    <row r="193" spans="1:39" x14ac:dyDescent="0.3">
      <c r="A193" s="12">
        <v>191</v>
      </c>
      <c r="B193" s="12" t="s">
        <v>236</v>
      </c>
      <c r="C193" s="13" t="s">
        <v>505</v>
      </c>
      <c r="D193" s="13" t="s">
        <v>505</v>
      </c>
      <c r="E193" s="14"/>
      <c r="F193" s="15">
        <v>0</v>
      </c>
      <c r="G193" s="16">
        <f t="shared" si="52"/>
        <v>0</v>
      </c>
      <c r="H193" s="15"/>
      <c r="I193" s="15">
        <f t="shared" si="40"/>
        <v>0</v>
      </c>
      <c r="J193" s="15"/>
      <c r="K193" s="15">
        <f t="shared" si="53"/>
        <v>0</v>
      </c>
      <c r="L193" s="15"/>
      <c r="M193" s="15">
        <f t="shared" si="41"/>
        <v>0</v>
      </c>
      <c r="N193" s="15"/>
      <c r="O193" s="15">
        <f t="shared" si="42"/>
        <v>0</v>
      </c>
      <c r="P193" s="15"/>
      <c r="Q193" s="15">
        <f t="shared" si="43"/>
        <v>0</v>
      </c>
      <c r="R193" s="15"/>
      <c r="S193" s="15">
        <f t="shared" si="44"/>
        <v>0</v>
      </c>
      <c r="T193" s="15"/>
      <c r="U193" s="15">
        <f t="shared" si="45"/>
        <v>0</v>
      </c>
      <c r="V193" s="15">
        <f t="shared" si="59"/>
        <v>0</v>
      </c>
      <c r="W193" s="17"/>
      <c r="X193" s="17"/>
      <c r="Y193" s="18">
        <v>0.88600000000000001</v>
      </c>
      <c r="Z193" s="1">
        <f t="shared" si="46"/>
        <v>0</v>
      </c>
      <c r="AA193" s="21"/>
      <c r="AC193" s="21"/>
      <c r="AE193" s="19"/>
      <c r="AF193" s="20">
        <f>SUMIF('[1]G-Chart'!G:G,[1]Capacity!D193,'[1]G-Chart'!L:L)</f>
        <v>0</v>
      </c>
      <c r="AG193" s="2">
        <f t="shared" si="47"/>
        <v>0</v>
      </c>
      <c r="AH193" s="2">
        <f t="shared" si="48"/>
        <v>0</v>
      </c>
      <c r="AI193" s="2">
        <f t="shared" si="54"/>
        <v>0</v>
      </c>
      <c r="AJ193" s="1">
        <f t="shared" si="49"/>
        <v>0</v>
      </c>
      <c r="AK193" s="1">
        <f t="shared" si="50"/>
        <v>0</v>
      </c>
      <c r="AL193" s="1">
        <f t="shared" si="51"/>
        <v>0</v>
      </c>
      <c r="AM193" s="1">
        <f t="shared" si="55"/>
        <v>0</v>
      </c>
    </row>
    <row r="194" spans="1:39" x14ac:dyDescent="0.3">
      <c r="A194" s="12">
        <v>192</v>
      </c>
      <c r="B194" s="12" t="s">
        <v>445</v>
      </c>
      <c r="C194" s="13" t="s">
        <v>506</v>
      </c>
      <c r="D194" s="13" t="s">
        <v>506</v>
      </c>
      <c r="E194" s="14"/>
      <c r="F194" s="15">
        <f t="shared" ref="F194:F209" si="62">AB194</f>
        <v>0</v>
      </c>
      <c r="G194" s="16">
        <f t="shared" si="52"/>
        <v>0</v>
      </c>
      <c r="H194" s="15"/>
      <c r="I194" s="15">
        <f t="shared" si="40"/>
        <v>0</v>
      </c>
      <c r="J194" s="15"/>
      <c r="K194" s="15">
        <f t="shared" si="53"/>
        <v>0</v>
      </c>
      <c r="L194" s="15"/>
      <c r="M194" s="15">
        <f t="shared" si="41"/>
        <v>0</v>
      </c>
      <c r="N194" s="15"/>
      <c r="O194" s="15">
        <f t="shared" si="42"/>
        <v>0</v>
      </c>
      <c r="P194" s="15"/>
      <c r="Q194" s="15">
        <f t="shared" si="43"/>
        <v>0</v>
      </c>
      <c r="R194" s="15"/>
      <c r="S194" s="15">
        <f t="shared" si="44"/>
        <v>0</v>
      </c>
      <c r="T194" s="15"/>
      <c r="U194" s="15">
        <f t="shared" si="45"/>
        <v>0</v>
      </c>
      <c r="V194" s="15">
        <f t="shared" si="59"/>
        <v>0</v>
      </c>
      <c r="W194" s="17"/>
      <c r="X194" s="17"/>
      <c r="Y194" s="18">
        <v>3.4000000000000002E-2</v>
      </c>
      <c r="Z194" s="1">
        <f t="shared" si="46"/>
        <v>0</v>
      </c>
      <c r="AA194" s="21"/>
      <c r="AB194" s="1">
        <f t="shared" ref="AB194:AB209" si="63">AD194*AA194</f>
        <v>0</v>
      </c>
      <c r="AC194" s="21"/>
      <c r="AE194" s="19"/>
      <c r="AF194" s="20">
        <f>SUMIF('[1]G-Chart'!G:G,[1]Capacity!D194,'[1]G-Chart'!L:L)</f>
        <v>0</v>
      </c>
      <c r="AG194" s="2">
        <f t="shared" si="47"/>
        <v>0</v>
      </c>
      <c r="AH194" s="2">
        <f t="shared" si="48"/>
        <v>0</v>
      </c>
      <c r="AI194" s="2">
        <f t="shared" si="54"/>
        <v>0</v>
      </c>
      <c r="AJ194" s="1">
        <f t="shared" si="49"/>
        <v>0</v>
      </c>
      <c r="AK194" s="1">
        <f t="shared" si="50"/>
        <v>0</v>
      </c>
      <c r="AL194" s="1">
        <f t="shared" si="51"/>
        <v>0</v>
      </c>
      <c r="AM194" s="1">
        <f t="shared" si="55"/>
        <v>0</v>
      </c>
    </row>
    <row r="195" spans="1:39" x14ac:dyDescent="0.3">
      <c r="A195" s="12">
        <v>193</v>
      </c>
      <c r="B195" s="12" t="s">
        <v>445</v>
      </c>
      <c r="C195" s="13" t="s">
        <v>507</v>
      </c>
      <c r="D195" s="13" t="s">
        <v>507</v>
      </c>
      <c r="E195" s="14"/>
      <c r="F195" s="15">
        <f t="shared" si="62"/>
        <v>0</v>
      </c>
      <c r="G195" s="16">
        <f t="shared" si="52"/>
        <v>0</v>
      </c>
      <c r="H195" s="15"/>
      <c r="I195" s="15">
        <f t="shared" ref="I195:I259" si="64">H195*F195</f>
        <v>0</v>
      </c>
      <c r="J195" s="15"/>
      <c r="K195" s="15">
        <f t="shared" si="53"/>
        <v>0</v>
      </c>
      <c r="L195" s="15"/>
      <c r="M195" s="15">
        <f t="shared" ref="M195:M259" si="65">L195*F195</f>
        <v>0</v>
      </c>
      <c r="N195" s="15"/>
      <c r="O195" s="15">
        <f t="shared" ref="O195:O259" si="66">N195*F195</f>
        <v>0</v>
      </c>
      <c r="P195" s="15"/>
      <c r="Q195" s="15">
        <f t="shared" ref="Q195:Q259" si="67">P195*F195</f>
        <v>0</v>
      </c>
      <c r="R195" s="15"/>
      <c r="S195" s="15">
        <f t="shared" ref="S195:S259" si="68">R195*F195</f>
        <v>0</v>
      </c>
      <c r="T195" s="15"/>
      <c r="U195" s="15">
        <f t="shared" ref="U195:U259" si="69">T195*F195</f>
        <v>0</v>
      </c>
      <c r="V195" s="15">
        <f t="shared" si="59"/>
        <v>0</v>
      </c>
      <c r="W195" s="17"/>
      <c r="X195" s="17"/>
      <c r="Y195" s="18">
        <v>0.38800000000000001</v>
      </c>
      <c r="Z195" s="1">
        <f t="shared" ref="Z195:Z259" si="70">F195/25</f>
        <v>0</v>
      </c>
      <c r="AA195" s="21"/>
      <c r="AB195" s="1">
        <f t="shared" si="63"/>
        <v>0</v>
      </c>
      <c r="AC195" s="21"/>
      <c r="AE195" s="19"/>
      <c r="AF195" s="20">
        <f>SUMIF('[1]G-Chart'!G:G,[1]Capacity!D195,'[1]G-Chart'!L:L)</f>
        <v>0</v>
      </c>
      <c r="AG195" s="2">
        <f t="shared" ref="AG195:AG258" si="71">AF195*J195</f>
        <v>0</v>
      </c>
      <c r="AH195" s="2">
        <f t="shared" ref="AH195:AH258" si="72">AF195*L195</f>
        <v>0</v>
      </c>
      <c r="AI195" s="2">
        <f t="shared" si="54"/>
        <v>0</v>
      </c>
      <c r="AJ195" s="1">
        <f t="shared" ref="AJ195:AJ258" si="73">AF195*P195</f>
        <v>0</v>
      </c>
      <c r="AK195" s="1">
        <f t="shared" ref="AK195:AK258" si="74">AF195*R195</f>
        <v>0</v>
      </c>
      <c r="AL195" s="1">
        <f t="shared" ref="AL195:AL258" si="75">AF195*T195</f>
        <v>0</v>
      </c>
      <c r="AM195" s="1">
        <f t="shared" si="55"/>
        <v>0</v>
      </c>
    </row>
    <row r="196" spans="1:39" x14ac:dyDescent="0.3">
      <c r="A196" s="12">
        <v>194</v>
      </c>
      <c r="B196" s="12" t="s">
        <v>445</v>
      </c>
      <c r="C196" s="13" t="s">
        <v>508</v>
      </c>
      <c r="D196" s="13" t="s">
        <v>508</v>
      </c>
      <c r="E196" s="14"/>
      <c r="F196" s="15">
        <f t="shared" si="62"/>
        <v>0</v>
      </c>
      <c r="G196" s="16">
        <f t="shared" ref="G196:G259" si="76">H196+J196+L196+N196+P196+R196+T196</f>
        <v>3</v>
      </c>
      <c r="H196" s="15"/>
      <c r="I196" s="15">
        <f t="shared" si="64"/>
        <v>0</v>
      </c>
      <c r="J196" s="15"/>
      <c r="K196" s="15">
        <f t="shared" ref="K196:K259" si="77">F196*J196</f>
        <v>0</v>
      </c>
      <c r="L196" s="15"/>
      <c r="M196" s="15">
        <f t="shared" si="65"/>
        <v>0</v>
      </c>
      <c r="N196" s="15"/>
      <c r="O196" s="15">
        <f t="shared" si="66"/>
        <v>0</v>
      </c>
      <c r="P196" s="15"/>
      <c r="Q196" s="15">
        <f t="shared" si="67"/>
        <v>0</v>
      </c>
      <c r="R196" s="15">
        <v>1</v>
      </c>
      <c r="S196" s="15">
        <f t="shared" si="68"/>
        <v>0</v>
      </c>
      <c r="T196" s="15">
        <v>2</v>
      </c>
      <c r="U196" s="15">
        <f t="shared" si="69"/>
        <v>0</v>
      </c>
      <c r="V196" s="15">
        <f t="shared" si="59"/>
        <v>0</v>
      </c>
      <c r="W196" s="17"/>
      <c r="X196" s="17"/>
      <c r="Y196" s="18">
        <v>0.67800000000000005</v>
      </c>
      <c r="Z196" s="1">
        <f t="shared" si="70"/>
        <v>0</v>
      </c>
      <c r="AA196" s="21"/>
      <c r="AB196" s="1">
        <f t="shared" si="63"/>
        <v>0</v>
      </c>
      <c r="AC196" s="21"/>
      <c r="AE196" s="19"/>
      <c r="AF196" s="20">
        <f>SUMIF('[1]G-Chart'!G:G,[1]Capacity!D196,'[1]G-Chart'!L:L)</f>
        <v>0</v>
      </c>
      <c r="AG196" s="2">
        <f t="shared" si="71"/>
        <v>0</v>
      </c>
      <c r="AH196" s="2">
        <f t="shared" si="72"/>
        <v>0</v>
      </c>
      <c r="AI196" s="2">
        <f t="shared" ref="AI196:AI259" si="78">AF196*N196</f>
        <v>0</v>
      </c>
      <c r="AJ196" s="1">
        <f t="shared" si="73"/>
        <v>0</v>
      </c>
      <c r="AK196" s="1">
        <f t="shared" si="74"/>
        <v>0</v>
      </c>
      <c r="AL196" s="1">
        <f t="shared" si="75"/>
        <v>0</v>
      </c>
      <c r="AM196" s="1">
        <f t="shared" ref="AM196:AM215" si="79">AF196*G196</f>
        <v>0</v>
      </c>
    </row>
    <row r="197" spans="1:39" x14ac:dyDescent="0.3">
      <c r="A197" s="12">
        <v>195</v>
      </c>
      <c r="B197" s="12" t="s">
        <v>445</v>
      </c>
      <c r="C197" s="13" t="s">
        <v>509</v>
      </c>
      <c r="D197" s="13" t="s">
        <v>509</v>
      </c>
      <c r="E197" s="14"/>
      <c r="F197" s="15">
        <f t="shared" si="62"/>
        <v>0</v>
      </c>
      <c r="G197" s="16">
        <f t="shared" si="76"/>
        <v>3</v>
      </c>
      <c r="H197" s="15"/>
      <c r="I197" s="15">
        <f t="shared" si="64"/>
        <v>0</v>
      </c>
      <c r="J197" s="15"/>
      <c r="K197" s="15">
        <f t="shared" si="77"/>
        <v>0</v>
      </c>
      <c r="L197" s="15"/>
      <c r="M197" s="15">
        <f t="shared" si="65"/>
        <v>0</v>
      </c>
      <c r="N197" s="15"/>
      <c r="O197" s="15">
        <f t="shared" si="66"/>
        <v>0</v>
      </c>
      <c r="P197" s="15"/>
      <c r="Q197" s="15">
        <f t="shared" si="67"/>
        <v>0</v>
      </c>
      <c r="R197" s="15">
        <v>1</v>
      </c>
      <c r="S197" s="15">
        <f t="shared" si="68"/>
        <v>0</v>
      </c>
      <c r="T197" s="15">
        <v>2</v>
      </c>
      <c r="U197" s="15">
        <f t="shared" si="69"/>
        <v>0</v>
      </c>
      <c r="V197" s="15">
        <f t="shared" si="59"/>
        <v>0</v>
      </c>
      <c r="W197" s="17"/>
      <c r="X197" s="17"/>
      <c r="Y197" s="18">
        <v>0.13700000000000001</v>
      </c>
      <c r="Z197" s="1">
        <f t="shared" si="70"/>
        <v>0</v>
      </c>
      <c r="AA197" s="21"/>
      <c r="AB197" s="1">
        <f t="shared" si="63"/>
        <v>0</v>
      </c>
      <c r="AC197" s="21"/>
      <c r="AE197" s="19"/>
      <c r="AF197" s="20">
        <f>SUMIF('[1]G-Chart'!G:G,[1]Capacity!D197,'[1]G-Chart'!L:L)</f>
        <v>0</v>
      </c>
      <c r="AG197" s="2">
        <f t="shared" si="71"/>
        <v>0</v>
      </c>
      <c r="AH197" s="2">
        <f t="shared" si="72"/>
        <v>0</v>
      </c>
      <c r="AI197" s="2">
        <f t="shared" si="78"/>
        <v>0</v>
      </c>
      <c r="AJ197" s="1">
        <f t="shared" si="73"/>
        <v>0</v>
      </c>
      <c r="AK197" s="1">
        <f t="shared" si="74"/>
        <v>0</v>
      </c>
      <c r="AL197" s="1">
        <f t="shared" si="75"/>
        <v>0</v>
      </c>
      <c r="AM197" s="1">
        <f t="shared" si="79"/>
        <v>0</v>
      </c>
    </row>
    <row r="198" spans="1:39" x14ac:dyDescent="0.3">
      <c r="A198" s="12">
        <v>196</v>
      </c>
      <c r="B198" s="12" t="s">
        <v>445</v>
      </c>
      <c r="C198" s="13" t="s">
        <v>510</v>
      </c>
      <c r="D198" s="13" t="s">
        <v>510</v>
      </c>
      <c r="E198" s="14"/>
      <c r="F198" s="15">
        <f t="shared" si="62"/>
        <v>0</v>
      </c>
      <c r="G198" s="16">
        <f t="shared" si="76"/>
        <v>0</v>
      </c>
      <c r="H198" s="15"/>
      <c r="I198" s="15">
        <f t="shared" si="64"/>
        <v>0</v>
      </c>
      <c r="J198" s="15"/>
      <c r="K198" s="15">
        <f t="shared" si="77"/>
        <v>0</v>
      </c>
      <c r="L198" s="15"/>
      <c r="M198" s="15">
        <f t="shared" si="65"/>
        <v>0</v>
      </c>
      <c r="N198" s="15"/>
      <c r="O198" s="15">
        <f t="shared" si="66"/>
        <v>0</v>
      </c>
      <c r="P198" s="15"/>
      <c r="Q198" s="15">
        <f t="shared" si="67"/>
        <v>0</v>
      </c>
      <c r="R198" s="15"/>
      <c r="S198" s="15">
        <f t="shared" si="68"/>
        <v>0</v>
      </c>
      <c r="T198" s="15"/>
      <c r="U198" s="15">
        <f t="shared" si="69"/>
        <v>0</v>
      </c>
      <c r="V198" s="15">
        <f t="shared" si="59"/>
        <v>0</v>
      </c>
      <c r="W198" s="17"/>
      <c r="X198" s="17"/>
      <c r="Y198" s="18">
        <v>1.631</v>
      </c>
      <c r="Z198" s="1">
        <f t="shared" si="70"/>
        <v>0</v>
      </c>
      <c r="AA198" s="21"/>
      <c r="AB198" s="1">
        <f t="shared" si="63"/>
        <v>0</v>
      </c>
      <c r="AC198" s="21"/>
      <c r="AE198" s="19"/>
      <c r="AF198" s="20">
        <f>SUMIF('[1]G-Chart'!G:G,[1]Capacity!D198,'[1]G-Chart'!L:L)</f>
        <v>0</v>
      </c>
      <c r="AG198" s="2">
        <f t="shared" si="71"/>
        <v>0</v>
      </c>
      <c r="AH198" s="2">
        <f t="shared" si="72"/>
        <v>0</v>
      </c>
      <c r="AI198" s="2">
        <f t="shared" si="78"/>
        <v>0</v>
      </c>
      <c r="AJ198" s="1">
        <f t="shared" si="73"/>
        <v>0</v>
      </c>
      <c r="AK198" s="1">
        <f t="shared" si="74"/>
        <v>0</v>
      </c>
      <c r="AL198" s="1">
        <f t="shared" si="75"/>
        <v>0</v>
      </c>
      <c r="AM198" s="1">
        <f t="shared" si="79"/>
        <v>0</v>
      </c>
    </row>
    <row r="199" spans="1:39" x14ac:dyDescent="0.3">
      <c r="A199" s="12">
        <v>197</v>
      </c>
      <c r="B199" s="12" t="s">
        <v>445</v>
      </c>
      <c r="C199" s="13" t="s">
        <v>511</v>
      </c>
      <c r="D199" s="13" t="s">
        <v>512</v>
      </c>
      <c r="E199" s="14"/>
      <c r="F199" s="15">
        <f t="shared" si="62"/>
        <v>0</v>
      </c>
      <c r="G199" s="16">
        <f t="shared" si="76"/>
        <v>2</v>
      </c>
      <c r="H199" s="15"/>
      <c r="I199" s="15">
        <f t="shared" si="64"/>
        <v>0</v>
      </c>
      <c r="J199" s="15"/>
      <c r="K199" s="15">
        <f t="shared" si="77"/>
        <v>0</v>
      </c>
      <c r="L199" s="15"/>
      <c r="M199" s="15">
        <f t="shared" si="65"/>
        <v>0</v>
      </c>
      <c r="N199" s="15"/>
      <c r="O199" s="15">
        <f t="shared" si="66"/>
        <v>0</v>
      </c>
      <c r="P199" s="15">
        <v>2</v>
      </c>
      <c r="Q199" s="15">
        <f t="shared" si="67"/>
        <v>0</v>
      </c>
      <c r="R199" s="15"/>
      <c r="S199" s="15">
        <f t="shared" si="68"/>
        <v>0</v>
      </c>
      <c r="T199" s="15"/>
      <c r="U199" s="15">
        <f t="shared" si="69"/>
        <v>0</v>
      </c>
      <c r="V199" s="15">
        <f t="shared" si="59"/>
        <v>0</v>
      </c>
      <c r="W199" s="17"/>
      <c r="X199" s="17"/>
      <c r="Y199" s="18">
        <v>0.214</v>
      </c>
      <c r="Z199" s="1">
        <f t="shared" si="70"/>
        <v>0</v>
      </c>
      <c r="AA199" s="21"/>
      <c r="AB199" s="1">
        <f t="shared" si="63"/>
        <v>0</v>
      </c>
      <c r="AC199" s="21"/>
      <c r="AE199" s="19"/>
      <c r="AF199" s="20">
        <f>SUMIF('[1]G-Chart'!G:G,[1]Capacity!D199,'[1]G-Chart'!L:L)</f>
        <v>0</v>
      </c>
      <c r="AG199" s="2">
        <f t="shared" si="71"/>
        <v>0</v>
      </c>
      <c r="AH199" s="2">
        <f t="shared" si="72"/>
        <v>0</v>
      </c>
      <c r="AI199" s="2">
        <f t="shared" si="78"/>
        <v>0</v>
      </c>
      <c r="AJ199" s="1">
        <f t="shared" si="73"/>
        <v>0</v>
      </c>
      <c r="AK199" s="1">
        <f t="shared" si="74"/>
        <v>0</v>
      </c>
      <c r="AL199" s="1">
        <f t="shared" si="75"/>
        <v>0</v>
      </c>
      <c r="AM199" s="1">
        <f t="shared" si="79"/>
        <v>0</v>
      </c>
    </row>
    <row r="200" spans="1:39" x14ac:dyDescent="0.3">
      <c r="A200" s="12">
        <v>198</v>
      </c>
      <c r="B200" s="12" t="s">
        <v>445</v>
      </c>
      <c r="C200" s="13" t="s">
        <v>513</v>
      </c>
      <c r="D200" s="13" t="s">
        <v>513</v>
      </c>
      <c r="E200" s="14"/>
      <c r="F200" s="15">
        <f t="shared" si="62"/>
        <v>0</v>
      </c>
      <c r="G200" s="16">
        <f t="shared" si="76"/>
        <v>3</v>
      </c>
      <c r="H200" s="15"/>
      <c r="I200" s="15">
        <f t="shared" si="64"/>
        <v>0</v>
      </c>
      <c r="J200" s="15"/>
      <c r="K200" s="15">
        <f t="shared" si="77"/>
        <v>0</v>
      </c>
      <c r="L200" s="15">
        <v>2</v>
      </c>
      <c r="M200" s="15">
        <f t="shared" si="65"/>
        <v>0</v>
      </c>
      <c r="N200" s="15">
        <v>1</v>
      </c>
      <c r="O200" s="15">
        <f t="shared" si="66"/>
        <v>0</v>
      </c>
      <c r="P200" s="15"/>
      <c r="Q200" s="15">
        <f t="shared" si="67"/>
        <v>0</v>
      </c>
      <c r="R200" s="15"/>
      <c r="S200" s="15">
        <f t="shared" si="68"/>
        <v>0</v>
      </c>
      <c r="T200" s="15"/>
      <c r="U200" s="15">
        <f t="shared" si="69"/>
        <v>0</v>
      </c>
      <c r="V200" s="15">
        <f t="shared" si="59"/>
        <v>0</v>
      </c>
      <c r="W200" s="17"/>
      <c r="X200" s="17"/>
      <c r="Y200" s="18">
        <v>0.501</v>
      </c>
      <c r="Z200" s="1">
        <f t="shared" si="70"/>
        <v>0</v>
      </c>
      <c r="AA200" s="21"/>
      <c r="AB200" s="1">
        <f t="shared" si="63"/>
        <v>0</v>
      </c>
      <c r="AC200" s="21"/>
      <c r="AE200" s="19"/>
      <c r="AF200" s="20">
        <f>SUMIF('[1]G-Chart'!G:G,[1]Capacity!D200,'[1]G-Chart'!L:L)</f>
        <v>0</v>
      </c>
      <c r="AG200" s="2">
        <f t="shared" si="71"/>
        <v>0</v>
      </c>
      <c r="AH200" s="2">
        <f t="shared" si="72"/>
        <v>0</v>
      </c>
      <c r="AI200" s="2">
        <f t="shared" si="78"/>
        <v>0</v>
      </c>
      <c r="AJ200" s="1">
        <f t="shared" si="73"/>
        <v>0</v>
      </c>
      <c r="AK200" s="1">
        <f t="shared" si="74"/>
        <v>0</v>
      </c>
      <c r="AL200" s="1">
        <f t="shared" si="75"/>
        <v>0</v>
      </c>
      <c r="AM200" s="1">
        <f t="shared" si="79"/>
        <v>0</v>
      </c>
    </row>
    <row r="201" spans="1:39" x14ac:dyDescent="0.3">
      <c r="A201" s="12">
        <v>199</v>
      </c>
      <c r="B201" s="12" t="s">
        <v>445</v>
      </c>
      <c r="C201" s="13" t="s">
        <v>514</v>
      </c>
      <c r="D201" s="13" t="s">
        <v>514</v>
      </c>
      <c r="E201" s="14"/>
      <c r="F201" s="15">
        <f t="shared" si="62"/>
        <v>0</v>
      </c>
      <c r="G201" s="16">
        <f t="shared" si="76"/>
        <v>3</v>
      </c>
      <c r="H201" s="15"/>
      <c r="I201" s="15">
        <f t="shared" si="64"/>
        <v>0</v>
      </c>
      <c r="J201" s="15"/>
      <c r="K201" s="15">
        <f t="shared" si="77"/>
        <v>0</v>
      </c>
      <c r="L201" s="15">
        <v>2</v>
      </c>
      <c r="M201" s="15">
        <f t="shared" si="65"/>
        <v>0</v>
      </c>
      <c r="N201" s="15">
        <v>1</v>
      </c>
      <c r="O201" s="15">
        <f t="shared" si="66"/>
        <v>0</v>
      </c>
      <c r="P201" s="15"/>
      <c r="Q201" s="15">
        <f t="shared" si="67"/>
        <v>0</v>
      </c>
      <c r="R201" s="15"/>
      <c r="S201" s="15">
        <f t="shared" si="68"/>
        <v>0</v>
      </c>
      <c r="T201" s="15"/>
      <c r="U201" s="15">
        <f t="shared" si="69"/>
        <v>0</v>
      </c>
      <c r="V201" s="15">
        <f t="shared" si="59"/>
        <v>0</v>
      </c>
      <c r="W201" s="17"/>
      <c r="X201" s="17"/>
      <c r="Y201" s="18">
        <v>0.53100000000000003</v>
      </c>
      <c r="Z201" s="1">
        <f t="shared" si="70"/>
        <v>0</v>
      </c>
      <c r="AA201" s="21"/>
      <c r="AB201" s="1">
        <f t="shared" si="63"/>
        <v>0</v>
      </c>
      <c r="AC201" s="21"/>
      <c r="AE201" s="19"/>
      <c r="AF201" s="20">
        <f>SUMIF('[1]G-Chart'!G:G,[1]Capacity!D201,'[1]G-Chart'!L:L)</f>
        <v>42</v>
      </c>
      <c r="AG201" s="2">
        <f t="shared" si="71"/>
        <v>0</v>
      </c>
      <c r="AH201" s="2">
        <f t="shared" si="72"/>
        <v>84</v>
      </c>
      <c r="AI201" s="2">
        <f t="shared" si="78"/>
        <v>42</v>
      </c>
      <c r="AJ201" s="1">
        <f t="shared" si="73"/>
        <v>0</v>
      </c>
      <c r="AK201" s="1">
        <f t="shared" si="74"/>
        <v>0</v>
      </c>
      <c r="AL201" s="1">
        <f t="shared" si="75"/>
        <v>0</v>
      </c>
      <c r="AM201" s="1">
        <f t="shared" si="79"/>
        <v>126</v>
      </c>
    </row>
    <row r="202" spans="1:39" x14ac:dyDescent="0.3">
      <c r="A202" s="12">
        <v>200</v>
      </c>
      <c r="B202" s="12" t="s">
        <v>445</v>
      </c>
      <c r="C202" s="13" t="s">
        <v>515</v>
      </c>
      <c r="D202" s="13" t="s">
        <v>515</v>
      </c>
      <c r="E202" s="14"/>
      <c r="F202" s="15">
        <f t="shared" si="62"/>
        <v>0</v>
      </c>
      <c r="G202" s="16">
        <f t="shared" si="76"/>
        <v>0</v>
      </c>
      <c r="H202" s="15"/>
      <c r="I202" s="15">
        <f t="shared" si="64"/>
        <v>0</v>
      </c>
      <c r="J202" s="15"/>
      <c r="K202" s="15">
        <f t="shared" si="77"/>
        <v>0</v>
      </c>
      <c r="L202" s="15"/>
      <c r="M202" s="15">
        <f t="shared" si="65"/>
        <v>0</v>
      </c>
      <c r="N202" s="15"/>
      <c r="O202" s="15">
        <f t="shared" si="66"/>
        <v>0</v>
      </c>
      <c r="P202" s="15"/>
      <c r="Q202" s="15">
        <f t="shared" si="67"/>
        <v>0</v>
      </c>
      <c r="R202" s="15"/>
      <c r="S202" s="15">
        <f t="shared" si="68"/>
        <v>0</v>
      </c>
      <c r="T202" s="15"/>
      <c r="U202" s="15">
        <f t="shared" si="69"/>
        <v>0</v>
      </c>
      <c r="V202" s="15">
        <f t="shared" si="59"/>
        <v>0</v>
      </c>
      <c r="W202" s="17"/>
      <c r="X202" s="17"/>
      <c r="Y202" s="18">
        <v>0.25900000000000001</v>
      </c>
      <c r="Z202" s="1">
        <f t="shared" si="70"/>
        <v>0</v>
      </c>
      <c r="AA202" s="21"/>
      <c r="AB202" s="1">
        <f t="shared" si="63"/>
        <v>0</v>
      </c>
      <c r="AC202" s="21"/>
      <c r="AE202" s="19"/>
      <c r="AF202" s="20">
        <f>SUMIF('[1]G-Chart'!G:G,[1]Capacity!D202,'[1]G-Chart'!L:L)</f>
        <v>0</v>
      </c>
      <c r="AG202" s="2">
        <f t="shared" si="71"/>
        <v>0</v>
      </c>
      <c r="AH202" s="2">
        <f t="shared" si="72"/>
        <v>0</v>
      </c>
      <c r="AI202" s="2">
        <f t="shared" si="78"/>
        <v>0</v>
      </c>
      <c r="AJ202" s="1">
        <f t="shared" si="73"/>
        <v>0</v>
      </c>
      <c r="AK202" s="1">
        <f t="shared" si="74"/>
        <v>0</v>
      </c>
      <c r="AL202" s="1">
        <f t="shared" si="75"/>
        <v>0</v>
      </c>
      <c r="AM202" s="1">
        <f t="shared" si="79"/>
        <v>0</v>
      </c>
    </row>
    <row r="203" spans="1:39" x14ac:dyDescent="0.3">
      <c r="A203" s="12">
        <v>201</v>
      </c>
      <c r="B203" s="12" t="s">
        <v>445</v>
      </c>
      <c r="C203" s="13" t="s">
        <v>516</v>
      </c>
      <c r="D203" s="13" t="s">
        <v>516</v>
      </c>
      <c r="E203" s="14"/>
      <c r="F203" s="15">
        <f t="shared" si="62"/>
        <v>0</v>
      </c>
      <c r="G203" s="16">
        <f t="shared" si="76"/>
        <v>0</v>
      </c>
      <c r="H203" s="15"/>
      <c r="I203" s="15">
        <f t="shared" si="64"/>
        <v>0</v>
      </c>
      <c r="J203" s="15"/>
      <c r="K203" s="15">
        <f t="shared" si="77"/>
        <v>0</v>
      </c>
      <c r="L203" s="15"/>
      <c r="M203" s="15">
        <f t="shared" si="65"/>
        <v>0</v>
      </c>
      <c r="N203" s="15"/>
      <c r="O203" s="15">
        <f t="shared" si="66"/>
        <v>0</v>
      </c>
      <c r="P203" s="15"/>
      <c r="Q203" s="15">
        <f t="shared" si="67"/>
        <v>0</v>
      </c>
      <c r="R203" s="15"/>
      <c r="S203" s="15">
        <f t="shared" si="68"/>
        <v>0</v>
      </c>
      <c r="T203" s="15"/>
      <c r="U203" s="15">
        <f t="shared" si="69"/>
        <v>0</v>
      </c>
      <c r="V203" s="15">
        <f t="shared" si="59"/>
        <v>0</v>
      </c>
      <c r="W203" s="17"/>
      <c r="X203" s="17"/>
      <c r="Y203" s="18">
        <v>0.26300000000000001</v>
      </c>
      <c r="Z203" s="1">
        <f t="shared" si="70"/>
        <v>0</v>
      </c>
      <c r="AA203" s="21"/>
      <c r="AB203" s="1">
        <f t="shared" si="63"/>
        <v>0</v>
      </c>
      <c r="AC203" s="21"/>
      <c r="AE203" s="19"/>
      <c r="AF203" s="20">
        <f>SUMIF('[1]G-Chart'!G:G,[1]Capacity!D203,'[1]G-Chart'!L:L)</f>
        <v>0</v>
      </c>
      <c r="AG203" s="2">
        <f t="shared" si="71"/>
        <v>0</v>
      </c>
      <c r="AH203" s="2">
        <f t="shared" si="72"/>
        <v>0</v>
      </c>
      <c r="AI203" s="2">
        <f t="shared" si="78"/>
        <v>0</v>
      </c>
      <c r="AJ203" s="1">
        <f t="shared" si="73"/>
        <v>0</v>
      </c>
      <c r="AK203" s="1">
        <f t="shared" si="74"/>
        <v>0</v>
      </c>
      <c r="AL203" s="1">
        <f t="shared" si="75"/>
        <v>0</v>
      </c>
      <c r="AM203" s="1">
        <f t="shared" si="79"/>
        <v>0</v>
      </c>
    </row>
    <row r="204" spans="1:39" x14ac:dyDescent="0.3">
      <c r="A204" s="12">
        <v>202</v>
      </c>
      <c r="B204" s="12" t="s">
        <v>445</v>
      </c>
      <c r="C204" s="13" t="s">
        <v>517</v>
      </c>
      <c r="D204" s="13" t="s">
        <v>518</v>
      </c>
      <c r="E204" s="14"/>
      <c r="F204" s="15">
        <f t="shared" si="62"/>
        <v>0</v>
      </c>
      <c r="G204" s="16">
        <f t="shared" si="76"/>
        <v>2</v>
      </c>
      <c r="H204" s="15"/>
      <c r="I204" s="15">
        <f t="shared" si="64"/>
        <v>0</v>
      </c>
      <c r="J204" s="15">
        <v>1</v>
      </c>
      <c r="K204" s="15">
        <f t="shared" si="77"/>
        <v>0</v>
      </c>
      <c r="L204" s="15">
        <v>1</v>
      </c>
      <c r="M204" s="15">
        <f t="shared" si="65"/>
        <v>0</v>
      </c>
      <c r="N204" s="15"/>
      <c r="O204" s="15">
        <f t="shared" si="66"/>
        <v>0</v>
      </c>
      <c r="P204" s="15"/>
      <c r="Q204" s="15">
        <f t="shared" si="67"/>
        <v>0</v>
      </c>
      <c r="R204" s="15"/>
      <c r="S204" s="15">
        <f t="shared" si="68"/>
        <v>0</v>
      </c>
      <c r="T204" s="15"/>
      <c r="U204" s="15">
        <f t="shared" si="69"/>
        <v>0</v>
      </c>
      <c r="V204" s="15">
        <f t="shared" si="59"/>
        <v>0</v>
      </c>
      <c r="W204" s="17"/>
      <c r="X204" s="17"/>
      <c r="Y204" s="18">
        <v>0.127</v>
      </c>
      <c r="Z204" s="1">
        <f t="shared" si="70"/>
        <v>0</v>
      </c>
      <c r="AA204" s="21"/>
      <c r="AB204" s="1">
        <f t="shared" si="63"/>
        <v>0</v>
      </c>
      <c r="AC204" s="21"/>
      <c r="AE204" s="19"/>
      <c r="AF204" s="20">
        <f>SUMIF('[1]G-Chart'!G:G,[1]Capacity!D204,'[1]G-Chart'!L:L)</f>
        <v>0</v>
      </c>
      <c r="AG204" s="2">
        <f t="shared" si="71"/>
        <v>0</v>
      </c>
      <c r="AH204" s="2">
        <f t="shared" si="72"/>
        <v>0</v>
      </c>
      <c r="AI204" s="2">
        <f t="shared" si="78"/>
        <v>0</v>
      </c>
      <c r="AJ204" s="1">
        <f t="shared" si="73"/>
        <v>0</v>
      </c>
      <c r="AK204" s="1">
        <f t="shared" si="74"/>
        <v>0</v>
      </c>
      <c r="AL204" s="1">
        <f t="shared" si="75"/>
        <v>0</v>
      </c>
      <c r="AM204" s="1">
        <f t="shared" si="79"/>
        <v>0</v>
      </c>
    </row>
    <row r="205" spans="1:39" x14ac:dyDescent="0.3">
      <c r="A205" s="12">
        <v>203</v>
      </c>
      <c r="B205" s="12" t="s">
        <v>445</v>
      </c>
      <c r="C205" s="13" t="s">
        <v>519</v>
      </c>
      <c r="D205" s="13" t="s">
        <v>519</v>
      </c>
      <c r="E205" s="14"/>
      <c r="F205" s="15">
        <f t="shared" si="62"/>
        <v>0</v>
      </c>
      <c r="G205" s="16">
        <f t="shared" si="76"/>
        <v>2</v>
      </c>
      <c r="H205" s="15"/>
      <c r="I205" s="15">
        <f t="shared" si="64"/>
        <v>0</v>
      </c>
      <c r="J205" s="15"/>
      <c r="K205" s="15">
        <f t="shared" si="77"/>
        <v>0</v>
      </c>
      <c r="L205" s="15"/>
      <c r="M205" s="15">
        <f t="shared" si="65"/>
        <v>0</v>
      </c>
      <c r="N205" s="15"/>
      <c r="O205" s="15">
        <f t="shared" si="66"/>
        <v>0</v>
      </c>
      <c r="P205" s="15"/>
      <c r="Q205" s="15">
        <f t="shared" si="67"/>
        <v>0</v>
      </c>
      <c r="R205" s="15"/>
      <c r="S205" s="15">
        <f t="shared" si="68"/>
        <v>0</v>
      </c>
      <c r="T205" s="15">
        <v>2</v>
      </c>
      <c r="U205" s="15">
        <f t="shared" si="69"/>
        <v>0</v>
      </c>
      <c r="V205" s="15">
        <f t="shared" si="59"/>
        <v>0</v>
      </c>
      <c r="W205" s="17"/>
      <c r="X205" s="17"/>
      <c r="Y205" s="18">
        <v>0.01</v>
      </c>
      <c r="Z205" s="1">
        <f t="shared" si="70"/>
        <v>0</v>
      </c>
      <c r="AA205" s="21"/>
      <c r="AB205" s="1">
        <f t="shared" si="63"/>
        <v>0</v>
      </c>
      <c r="AC205" s="21"/>
      <c r="AE205" s="19"/>
      <c r="AF205" s="20">
        <f>SUMIF('[1]G-Chart'!G:G,[1]Capacity!D205,'[1]G-Chart'!L:L)</f>
        <v>0</v>
      </c>
      <c r="AG205" s="2">
        <f t="shared" si="71"/>
        <v>0</v>
      </c>
      <c r="AH205" s="2">
        <f t="shared" si="72"/>
        <v>0</v>
      </c>
      <c r="AI205" s="2">
        <f t="shared" si="78"/>
        <v>0</v>
      </c>
      <c r="AJ205" s="1">
        <f t="shared" si="73"/>
        <v>0</v>
      </c>
      <c r="AK205" s="1">
        <f t="shared" si="74"/>
        <v>0</v>
      </c>
      <c r="AL205" s="1">
        <f t="shared" si="75"/>
        <v>0</v>
      </c>
      <c r="AM205" s="1">
        <f t="shared" si="79"/>
        <v>0</v>
      </c>
    </row>
    <row r="206" spans="1:39" x14ac:dyDescent="0.3">
      <c r="A206" s="12">
        <v>204</v>
      </c>
      <c r="B206" s="12" t="s">
        <v>445</v>
      </c>
      <c r="C206" s="13" t="s">
        <v>520</v>
      </c>
      <c r="D206" s="13" t="s">
        <v>520</v>
      </c>
      <c r="E206" s="14"/>
      <c r="F206" s="15">
        <f t="shared" si="62"/>
        <v>0</v>
      </c>
      <c r="G206" s="16">
        <f t="shared" si="76"/>
        <v>0</v>
      </c>
      <c r="H206" s="15"/>
      <c r="I206" s="15">
        <f t="shared" si="64"/>
        <v>0</v>
      </c>
      <c r="J206" s="15"/>
      <c r="K206" s="15">
        <f t="shared" si="77"/>
        <v>0</v>
      </c>
      <c r="L206" s="15"/>
      <c r="M206" s="15">
        <f t="shared" si="65"/>
        <v>0</v>
      </c>
      <c r="N206" s="15"/>
      <c r="O206" s="15">
        <f t="shared" si="66"/>
        <v>0</v>
      </c>
      <c r="P206" s="15"/>
      <c r="Q206" s="15">
        <f t="shared" si="67"/>
        <v>0</v>
      </c>
      <c r="R206" s="15"/>
      <c r="S206" s="15">
        <f t="shared" si="68"/>
        <v>0</v>
      </c>
      <c r="T206" s="15"/>
      <c r="U206" s="15">
        <f t="shared" si="69"/>
        <v>0</v>
      </c>
      <c r="V206" s="15">
        <f t="shared" si="59"/>
        <v>0</v>
      </c>
      <c r="W206" s="17"/>
      <c r="X206" s="17"/>
      <c r="Y206" s="18">
        <v>1.7999999999999999E-2</v>
      </c>
      <c r="Z206" s="1">
        <f t="shared" si="70"/>
        <v>0</v>
      </c>
      <c r="AA206" s="21"/>
      <c r="AB206" s="1">
        <f t="shared" si="63"/>
        <v>0</v>
      </c>
      <c r="AC206" s="21"/>
      <c r="AE206" s="19"/>
      <c r="AF206" s="20">
        <f>SUMIF('[1]G-Chart'!G:G,[1]Capacity!D206,'[1]G-Chart'!L:L)</f>
        <v>0</v>
      </c>
      <c r="AG206" s="2">
        <f t="shared" si="71"/>
        <v>0</v>
      </c>
      <c r="AH206" s="2">
        <f t="shared" si="72"/>
        <v>0</v>
      </c>
      <c r="AI206" s="2">
        <f t="shared" si="78"/>
        <v>0</v>
      </c>
      <c r="AJ206" s="1">
        <f t="shared" si="73"/>
        <v>0</v>
      </c>
      <c r="AK206" s="1">
        <f t="shared" si="74"/>
        <v>0</v>
      </c>
      <c r="AL206" s="1">
        <f t="shared" si="75"/>
        <v>0</v>
      </c>
      <c r="AM206" s="1">
        <f t="shared" si="79"/>
        <v>0</v>
      </c>
    </row>
    <row r="207" spans="1:39" x14ac:dyDescent="0.3">
      <c r="A207" s="12">
        <v>205</v>
      </c>
      <c r="B207" s="12" t="s">
        <v>445</v>
      </c>
      <c r="C207" s="13" t="s">
        <v>521</v>
      </c>
      <c r="D207" s="13" t="s">
        <v>521</v>
      </c>
      <c r="E207" s="14" t="s">
        <v>522</v>
      </c>
      <c r="F207" s="15">
        <f t="shared" si="62"/>
        <v>0</v>
      </c>
      <c r="G207" s="16">
        <f t="shared" si="76"/>
        <v>2</v>
      </c>
      <c r="H207" s="15"/>
      <c r="I207" s="15">
        <f t="shared" si="64"/>
        <v>0</v>
      </c>
      <c r="J207" s="15"/>
      <c r="K207" s="15">
        <f t="shared" si="77"/>
        <v>0</v>
      </c>
      <c r="L207" s="15"/>
      <c r="M207" s="15">
        <f t="shared" si="65"/>
        <v>0</v>
      </c>
      <c r="N207" s="15"/>
      <c r="O207" s="15">
        <f t="shared" si="66"/>
        <v>0</v>
      </c>
      <c r="P207" s="15">
        <v>1</v>
      </c>
      <c r="Q207" s="15">
        <f t="shared" si="67"/>
        <v>0</v>
      </c>
      <c r="R207" s="15"/>
      <c r="S207" s="15">
        <f t="shared" si="68"/>
        <v>0</v>
      </c>
      <c r="T207" s="15">
        <v>1</v>
      </c>
      <c r="U207" s="15">
        <f t="shared" si="69"/>
        <v>0</v>
      </c>
      <c r="V207" s="15">
        <f t="shared" si="59"/>
        <v>0</v>
      </c>
      <c r="W207" s="17"/>
      <c r="X207" s="17"/>
      <c r="Y207" s="18">
        <v>8.0000000000000002E-3</v>
      </c>
      <c r="Z207" s="1">
        <f t="shared" si="70"/>
        <v>0</v>
      </c>
      <c r="AA207" s="21"/>
      <c r="AB207" s="1">
        <f t="shared" si="63"/>
        <v>0</v>
      </c>
      <c r="AC207" s="21"/>
      <c r="AE207" s="19"/>
      <c r="AF207" s="20">
        <f>SUMIF('[1]G-Chart'!G:G,[1]Capacity!D207,'[1]G-Chart'!L:L)</f>
        <v>0</v>
      </c>
      <c r="AG207" s="2">
        <f t="shared" si="71"/>
        <v>0</v>
      </c>
      <c r="AH207" s="2">
        <f t="shared" si="72"/>
        <v>0</v>
      </c>
      <c r="AI207" s="2">
        <f t="shared" si="78"/>
        <v>0</v>
      </c>
      <c r="AJ207" s="1">
        <f t="shared" si="73"/>
        <v>0</v>
      </c>
      <c r="AK207" s="1">
        <f t="shared" si="74"/>
        <v>0</v>
      </c>
      <c r="AL207" s="1">
        <f t="shared" si="75"/>
        <v>0</v>
      </c>
      <c r="AM207" s="1">
        <f t="shared" si="79"/>
        <v>0</v>
      </c>
    </row>
    <row r="208" spans="1:39" x14ac:dyDescent="0.3">
      <c r="A208" s="12">
        <v>206</v>
      </c>
      <c r="B208" s="12" t="s">
        <v>445</v>
      </c>
      <c r="C208" s="13" t="s">
        <v>523</v>
      </c>
      <c r="D208" s="13" t="s">
        <v>524</v>
      </c>
      <c r="E208" s="14" t="s">
        <v>525</v>
      </c>
      <c r="F208" s="15">
        <f t="shared" si="62"/>
        <v>0</v>
      </c>
      <c r="G208" s="16">
        <f t="shared" si="76"/>
        <v>1</v>
      </c>
      <c r="H208" s="15"/>
      <c r="I208" s="15">
        <f t="shared" si="64"/>
        <v>0</v>
      </c>
      <c r="J208" s="15"/>
      <c r="K208" s="15">
        <f t="shared" si="77"/>
        <v>0</v>
      </c>
      <c r="L208" s="15"/>
      <c r="M208" s="15">
        <f t="shared" si="65"/>
        <v>0</v>
      </c>
      <c r="N208" s="15"/>
      <c r="O208" s="15">
        <f t="shared" si="66"/>
        <v>0</v>
      </c>
      <c r="P208" s="15"/>
      <c r="Q208" s="15">
        <f t="shared" si="67"/>
        <v>0</v>
      </c>
      <c r="R208" s="15"/>
      <c r="S208" s="15">
        <f t="shared" si="68"/>
        <v>0</v>
      </c>
      <c r="T208" s="15">
        <v>1</v>
      </c>
      <c r="U208" s="15">
        <f t="shared" si="69"/>
        <v>0</v>
      </c>
      <c r="V208" s="15">
        <f t="shared" si="59"/>
        <v>0</v>
      </c>
      <c r="W208" s="17"/>
      <c r="X208" s="17"/>
      <c r="Y208" s="18">
        <v>7.3999999999999996E-2</v>
      </c>
      <c r="Z208" s="1">
        <f t="shared" si="70"/>
        <v>0</v>
      </c>
      <c r="AA208" s="21"/>
      <c r="AB208" s="1">
        <f t="shared" si="63"/>
        <v>0</v>
      </c>
      <c r="AC208" s="21"/>
      <c r="AE208" s="19"/>
      <c r="AF208" s="20">
        <f>SUMIF('[1]G-Chart'!G:G,[1]Capacity!D208,'[1]G-Chart'!L:L)</f>
        <v>636</v>
      </c>
      <c r="AG208" s="2">
        <f t="shared" si="71"/>
        <v>0</v>
      </c>
      <c r="AH208" s="2">
        <f t="shared" si="72"/>
        <v>0</v>
      </c>
      <c r="AI208" s="2">
        <f t="shared" si="78"/>
        <v>0</v>
      </c>
      <c r="AJ208" s="1">
        <f t="shared" si="73"/>
        <v>0</v>
      </c>
      <c r="AK208" s="1">
        <f t="shared" si="74"/>
        <v>0</v>
      </c>
      <c r="AL208" s="1">
        <f t="shared" si="75"/>
        <v>636</v>
      </c>
      <c r="AM208" s="1">
        <f t="shared" si="79"/>
        <v>636</v>
      </c>
    </row>
    <row r="209" spans="1:39" x14ac:dyDescent="0.3">
      <c r="A209" s="12">
        <v>207</v>
      </c>
      <c r="B209" s="12" t="s">
        <v>445</v>
      </c>
      <c r="C209" s="13" t="s">
        <v>526</v>
      </c>
      <c r="D209" s="13" t="s">
        <v>527</v>
      </c>
      <c r="E209" s="14" t="s">
        <v>528</v>
      </c>
      <c r="F209" s="15">
        <f t="shared" si="62"/>
        <v>0</v>
      </c>
      <c r="G209" s="16">
        <f t="shared" si="76"/>
        <v>1</v>
      </c>
      <c r="H209" s="15"/>
      <c r="I209" s="15">
        <f t="shared" si="64"/>
        <v>0</v>
      </c>
      <c r="J209" s="15">
        <v>1</v>
      </c>
      <c r="K209" s="15">
        <f t="shared" si="77"/>
        <v>0</v>
      </c>
      <c r="L209" s="15"/>
      <c r="M209" s="15">
        <f t="shared" si="65"/>
        <v>0</v>
      </c>
      <c r="N209" s="15"/>
      <c r="O209" s="15">
        <f t="shared" si="66"/>
        <v>0</v>
      </c>
      <c r="P209" s="15"/>
      <c r="Q209" s="15">
        <f t="shared" si="67"/>
        <v>0</v>
      </c>
      <c r="R209" s="15"/>
      <c r="S209" s="15">
        <f t="shared" si="68"/>
        <v>0</v>
      </c>
      <c r="T209" s="15"/>
      <c r="U209" s="15">
        <f t="shared" si="69"/>
        <v>0</v>
      </c>
      <c r="V209" s="15">
        <f t="shared" si="59"/>
        <v>0</v>
      </c>
      <c r="W209" s="17"/>
      <c r="X209" s="17"/>
      <c r="Y209" s="18">
        <v>0.26</v>
      </c>
      <c r="Z209" s="1">
        <f t="shared" si="70"/>
        <v>0</v>
      </c>
      <c r="AA209" s="21"/>
      <c r="AB209" s="1">
        <f t="shared" si="63"/>
        <v>0</v>
      </c>
      <c r="AC209" s="21"/>
      <c r="AE209" s="19"/>
      <c r="AF209" s="20">
        <f>SUMIF('[1]G-Chart'!G:G,[1]Capacity!D209,'[1]G-Chart'!L:L)</f>
        <v>365</v>
      </c>
      <c r="AG209" s="2">
        <f t="shared" si="71"/>
        <v>365</v>
      </c>
      <c r="AH209" s="2">
        <f t="shared" si="72"/>
        <v>0</v>
      </c>
      <c r="AI209" s="2">
        <f t="shared" si="78"/>
        <v>0</v>
      </c>
      <c r="AJ209" s="1">
        <f t="shared" si="73"/>
        <v>0</v>
      </c>
      <c r="AK209" s="1">
        <f t="shared" si="74"/>
        <v>0</v>
      </c>
      <c r="AL209" s="1">
        <f t="shared" si="75"/>
        <v>0</v>
      </c>
      <c r="AM209" s="1">
        <f t="shared" si="79"/>
        <v>365</v>
      </c>
    </row>
    <row r="210" spans="1:39" x14ac:dyDescent="0.3">
      <c r="A210" s="12">
        <v>208</v>
      </c>
      <c r="B210" s="12" t="s">
        <v>236</v>
      </c>
      <c r="C210" s="13" t="s">
        <v>529</v>
      </c>
      <c r="D210" s="13" t="s">
        <v>529</v>
      </c>
      <c r="E210" s="14" t="s">
        <v>530</v>
      </c>
      <c r="F210" s="15">
        <v>0</v>
      </c>
      <c r="G210" s="16">
        <f t="shared" si="76"/>
        <v>3</v>
      </c>
      <c r="H210" s="15"/>
      <c r="I210" s="15">
        <f t="shared" si="64"/>
        <v>0</v>
      </c>
      <c r="J210" s="15"/>
      <c r="K210" s="15">
        <f t="shared" si="77"/>
        <v>0</v>
      </c>
      <c r="L210" s="15">
        <v>1</v>
      </c>
      <c r="M210" s="15">
        <f t="shared" si="65"/>
        <v>0</v>
      </c>
      <c r="N210" s="15"/>
      <c r="O210" s="15">
        <f t="shared" si="66"/>
        <v>0</v>
      </c>
      <c r="P210" s="15">
        <v>2</v>
      </c>
      <c r="Q210" s="15">
        <f t="shared" si="67"/>
        <v>0</v>
      </c>
      <c r="R210" s="15"/>
      <c r="S210" s="15">
        <f t="shared" si="68"/>
        <v>0</v>
      </c>
      <c r="T210" s="15"/>
      <c r="U210" s="15">
        <f t="shared" si="69"/>
        <v>0</v>
      </c>
      <c r="V210" s="15">
        <f t="shared" si="59"/>
        <v>0</v>
      </c>
      <c r="W210" s="17"/>
      <c r="X210" s="17"/>
      <c r="Y210" s="18">
        <v>0.95399999999999996</v>
      </c>
      <c r="Z210" s="1">
        <f t="shared" si="70"/>
        <v>0</v>
      </c>
      <c r="AA210" s="21"/>
      <c r="AC210" s="21"/>
      <c r="AE210" s="19"/>
      <c r="AF210" s="20">
        <f>SUMIF('[1]G-Chart'!G:G,[1]Capacity!D210,'[1]G-Chart'!L:L)</f>
        <v>0</v>
      </c>
      <c r="AG210" s="2">
        <f t="shared" si="71"/>
        <v>0</v>
      </c>
      <c r="AH210" s="2">
        <f t="shared" si="72"/>
        <v>0</v>
      </c>
      <c r="AI210" s="2">
        <f t="shared" si="78"/>
        <v>0</v>
      </c>
      <c r="AJ210" s="1">
        <f t="shared" si="73"/>
        <v>0</v>
      </c>
      <c r="AK210" s="1">
        <f t="shared" si="74"/>
        <v>0</v>
      </c>
      <c r="AL210" s="1">
        <f t="shared" si="75"/>
        <v>0</v>
      </c>
      <c r="AM210" s="1">
        <f t="shared" si="79"/>
        <v>0</v>
      </c>
    </row>
    <row r="211" spans="1:39" x14ac:dyDescent="0.3">
      <c r="A211" s="12">
        <v>209</v>
      </c>
      <c r="B211" s="12" t="s">
        <v>236</v>
      </c>
      <c r="C211" s="13" t="s">
        <v>531</v>
      </c>
      <c r="D211" s="13" t="s">
        <v>531</v>
      </c>
      <c r="E211" s="14" t="s">
        <v>532</v>
      </c>
      <c r="F211" s="15">
        <v>0</v>
      </c>
      <c r="G211" s="16">
        <f t="shared" si="76"/>
        <v>3</v>
      </c>
      <c r="H211" s="15"/>
      <c r="I211" s="15">
        <f t="shared" si="64"/>
        <v>0</v>
      </c>
      <c r="J211" s="15"/>
      <c r="K211" s="15">
        <f t="shared" si="77"/>
        <v>0</v>
      </c>
      <c r="L211" s="15">
        <v>1</v>
      </c>
      <c r="M211" s="15">
        <f t="shared" si="65"/>
        <v>0</v>
      </c>
      <c r="N211" s="15"/>
      <c r="O211" s="15">
        <f t="shared" si="66"/>
        <v>0</v>
      </c>
      <c r="P211" s="15">
        <v>2</v>
      </c>
      <c r="Q211" s="15">
        <f t="shared" si="67"/>
        <v>0</v>
      </c>
      <c r="R211" s="15"/>
      <c r="S211" s="15">
        <f t="shared" si="68"/>
        <v>0</v>
      </c>
      <c r="T211" s="15"/>
      <c r="U211" s="15">
        <f t="shared" si="69"/>
        <v>0</v>
      </c>
      <c r="V211" s="15">
        <f t="shared" si="59"/>
        <v>0</v>
      </c>
      <c r="W211" s="17"/>
      <c r="X211" s="17"/>
      <c r="Y211" s="18">
        <v>0.84599999999999997</v>
      </c>
      <c r="Z211" s="1">
        <f t="shared" si="70"/>
        <v>0</v>
      </c>
      <c r="AA211" s="21"/>
      <c r="AC211" s="21"/>
      <c r="AE211" s="19"/>
      <c r="AF211" s="20">
        <f>SUMIF('[1]G-Chart'!G:G,[1]Capacity!D211,'[1]G-Chart'!L:L)</f>
        <v>0</v>
      </c>
      <c r="AG211" s="2">
        <f t="shared" si="71"/>
        <v>0</v>
      </c>
      <c r="AH211" s="2">
        <f t="shared" si="72"/>
        <v>0</v>
      </c>
      <c r="AI211" s="2">
        <f t="shared" si="78"/>
        <v>0</v>
      </c>
      <c r="AJ211" s="1">
        <f t="shared" si="73"/>
        <v>0</v>
      </c>
      <c r="AK211" s="1">
        <f t="shared" si="74"/>
        <v>0</v>
      </c>
      <c r="AL211" s="1">
        <f t="shared" si="75"/>
        <v>0</v>
      </c>
      <c r="AM211" s="1">
        <f t="shared" si="79"/>
        <v>0</v>
      </c>
    </row>
    <row r="212" spans="1:39" x14ac:dyDescent="0.3">
      <c r="A212" s="12">
        <v>210</v>
      </c>
      <c r="B212" s="12" t="s">
        <v>445</v>
      </c>
      <c r="C212" s="13" t="s">
        <v>533</v>
      </c>
      <c r="D212" s="13" t="s">
        <v>533</v>
      </c>
      <c r="E212" s="14"/>
      <c r="F212" s="15">
        <f t="shared" ref="F212:F219" si="80">AB212</f>
        <v>0</v>
      </c>
      <c r="G212" s="16">
        <f t="shared" si="76"/>
        <v>0</v>
      </c>
      <c r="H212" s="15"/>
      <c r="I212" s="15">
        <f t="shared" si="64"/>
        <v>0</v>
      </c>
      <c r="J212" s="15"/>
      <c r="K212" s="15">
        <f t="shared" si="77"/>
        <v>0</v>
      </c>
      <c r="L212" s="15"/>
      <c r="M212" s="15">
        <f t="shared" si="65"/>
        <v>0</v>
      </c>
      <c r="N212" s="15"/>
      <c r="O212" s="15">
        <f t="shared" si="66"/>
        <v>0</v>
      </c>
      <c r="P212" s="15"/>
      <c r="Q212" s="15">
        <f t="shared" si="67"/>
        <v>0</v>
      </c>
      <c r="R212" s="15"/>
      <c r="S212" s="15">
        <f t="shared" si="68"/>
        <v>0</v>
      </c>
      <c r="T212" s="15"/>
      <c r="U212" s="15">
        <f t="shared" si="69"/>
        <v>0</v>
      </c>
      <c r="V212" s="15">
        <f t="shared" si="59"/>
        <v>0</v>
      </c>
      <c r="W212" s="17"/>
      <c r="X212" s="17"/>
      <c r="Y212" s="18">
        <v>0.02</v>
      </c>
      <c r="Z212" s="1">
        <f t="shared" si="70"/>
        <v>0</v>
      </c>
      <c r="AA212" s="21"/>
      <c r="AB212" s="1">
        <f>AD212*AA212</f>
        <v>0</v>
      </c>
      <c r="AC212" s="21"/>
      <c r="AE212" s="19"/>
      <c r="AF212" s="20">
        <f>SUMIF('[1]G-Chart'!G:G,[1]Capacity!D212,'[1]G-Chart'!L:L)</f>
        <v>0</v>
      </c>
      <c r="AG212" s="2">
        <f t="shared" si="71"/>
        <v>0</v>
      </c>
      <c r="AH212" s="2">
        <f t="shared" si="72"/>
        <v>0</v>
      </c>
      <c r="AI212" s="2">
        <f t="shared" si="78"/>
        <v>0</v>
      </c>
      <c r="AJ212" s="1">
        <f t="shared" si="73"/>
        <v>0</v>
      </c>
      <c r="AK212" s="1">
        <f t="shared" si="74"/>
        <v>0</v>
      </c>
      <c r="AL212" s="1">
        <f t="shared" si="75"/>
        <v>0</v>
      </c>
      <c r="AM212" s="1">
        <f t="shared" si="79"/>
        <v>0</v>
      </c>
    </row>
    <row r="213" spans="1:39" x14ac:dyDescent="0.3">
      <c r="A213" s="12">
        <v>211</v>
      </c>
      <c r="B213" s="12" t="s">
        <v>171</v>
      </c>
      <c r="C213" s="13" t="s">
        <v>534</v>
      </c>
      <c r="D213" s="47" t="s">
        <v>535</v>
      </c>
      <c r="E213" s="14" t="s">
        <v>536</v>
      </c>
      <c r="F213" s="15">
        <f t="shared" si="80"/>
        <v>175</v>
      </c>
      <c r="G213" s="16">
        <f t="shared" si="76"/>
        <v>3</v>
      </c>
      <c r="H213" s="15"/>
      <c r="I213" s="15">
        <f t="shared" si="64"/>
        <v>0</v>
      </c>
      <c r="J213" s="15"/>
      <c r="K213" s="15">
        <f t="shared" si="77"/>
        <v>0</v>
      </c>
      <c r="L213" s="15"/>
      <c r="M213" s="15">
        <f t="shared" si="65"/>
        <v>0</v>
      </c>
      <c r="N213" s="15">
        <v>2</v>
      </c>
      <c r="O213" s="15">
        <f t="shared" si="66"/>
        <v>350</v>
      </c>
      <c r="P213" s="15"/>
      <c r="Q213" s="15">
        <f t="shared" si="67"/>
        <v>0</v>
      </c>
      <c r="R213" s="15">
        <v>1</v>
      </c>
      <c r="S213" s="15">
        <f t="shared" si="68"/>
        <v>175</v>
      </c>
      <c r="T213" s="15"/>
      <c r="U213" s="15">
        <f t="shared" si="69"/>
        <v>0</v>
      </c>
      <c r="V213" s="15">
        <f t="shared" si="59"/>
        <v>525</v>
      </c>
      <c r="W213" s="17"/>
      <c r="X213" s="17"/>
      <c r="Y213" s="18">
        <v>0.71599999999999997</v>
      </c>
      <c r="Z213" s="1">
        <f t="shared" si="70"/>
        <v>7</v>
      </c>
      <c r="AA213" s="21">
        <v>1</v>
      </c>
      <c r="AB213" s="1">
        <f>AD213*AA213</f>
        <v>175</v>
      </c>
      <c r="AC213" s="30"/>
      <c r="AD213" s="31">
        <v>175</v>
      </c>
      <c r="AE213" s="32" t="s">
        <v>199</v>
      </c>
      <c r="AF213" s="20">
        <f>SUMIF('[1]G-Chart'!G:G,[1]Capacity!D213,'[1]G-Chart'!L:L)</f>
        <v>0</v>
      </c>
      <c r="AG213" s="2">
        <f t="shared" si="71"/>
        <v>0</v>
      </c>
      <c r="AH213" s="2">
        <f t="shared" si="72"/>
        <v>0</v>
      </c>
      <c r="AI213" s="2">
        <f t="shared" si="78"/>
        <v>0</v>
      </c>
      <c r="AJ213" s="1">
        <f t="shared" si="73"/>
        <v>0</v>
      </c>
      <c r="AK213" s="1">
        <f t="shared" si="74"/>
        <v>0</v>
      </c>
      <c r="AL213" s="1">
        <f t="shared" si="75"/>
        <v>0</v>
      </c>
      <c r="AM213" s="1">
        <f t="shared" si="79"/>
        <v>0</v>
      </c>
    </row>
    <row r="214" spans="1:39" x14ac:dyDescent="0.3">
      <c r="A214" s="12">
        <v>212</v>
      </c>
      <c r="B214" s="12" t="s">
        <v>171</v>
      </c>
      <c r="C214" s="22" t="s">
        <v>537</v>
      </c>
      <c r="D214" s="22" t="s">
        <v>538</v>
      </c>
      <c r="E214" s="48" t="s">
        <v>539</v>
      </c>
      <c r="F214" s="15">
        <f t="shared" si="80"/>
        <v>175</v>
      </c>
      <c r="G214" s="16">
        <f t="shared" si="76"/>
        <v>3</v>
      </c>
      <c r="H214" s="15"/>
      <c r="I214" s="15">
        <f t="shared" si="64"/>
        <v>0</v>
      </c>
      <c r="J214" s="15"/>
      <c r="K214" s="15">
        <f t="shared" si="77"/>
        <v>0</v>
      </c>
      <c r="L214" s="15"/>
      <c r="M214" s="15">
        <f t="shared" si="65"/>
        <v>0</v>
      </c>
      <c r="N214" s="15"/>
      <c r="O214" s="15">
        <f t="shared" si="66"/>
        <v>0</v>
      </c>
      <c r="P214" s="15"/>
      <c r="Q214" s="15">
        <f t="shared" si="67"/>
        <v>0</v>
      </c>
      <c r="R214" s="15">
        <v>2</v>
      </c>
      <c r="S214" s="15">
        <f t="shared" si="68"/>
        <v>350</v>
      </c>
      <c r="T214" s="15">
        <v>1</v>
      </c>
      <c r="U214" s="15">
        <f t="shared" si="69"/>
        <v>175</v>
      </c>
      <c r="V214" s="15">
        <f t="shared" si="59"/>
        <v>525</v>
      </c>
      <c r="W214" s="17"/>
      <c r="X214" s="17"/>
      <c r="Y214" s="18">
        <v>0.08</v>
      </c>
      <c r="AA214" s="21">
        <v>1</v>
      </c>
      <c r="AB214" s="1">
        <f>AB213</f>
        <v>175</v>
      </c>
      <c r="AC214" s="30"/>
      <c r="AD214" s="21"/>
      <c r="AE214" s="46"/>
      <c r="AF214" s="20">
        <f>SUMIF('[1]G-Chart'!G:G,[1]Capacity!D214,'[1]G-Chart'!L:L)</f>
        <v>1546</v>
      </c>
      <c r="AG214" s="2">
        <f t="shared" si="71"/>
        <v>0</v>
      </c>
      <c r="AH214" s="2">
        <f t="shared" si="72"/>
        <v>0</v>
      </c>
      <c r="AI214" s="2">
        <f t="shared" si="78"/>
        <v>0</v>
      </c>
      <c r="AJ214" s="1">
        <f t="shared" si="73"/>
        <v>0</v>
      </c>
      <c r="AK214" s="1">
        <f t="shared" si="74"/>
        <v>3092</v>
      </c>
      <c r="AL214" s="1">
        <f t="shared" si="75"/>
        <v>1546</v>
      </c>
    </row>
    <row r="215" spans="1:39" x14ac:dyDescent="0.3">
      <c r="A215" s="12">
        <v>213</v>
      </c>
      <c r="B215" s="12" t="s">
        <v>540</v>
      </c>
      <c r="C215" s="13" t="s">
        <v>541</v>
      </c>
      <c r="D215" s="13" t="s">
        <v>542</v>
      </c>
      <c r="E215" s="14" t="s">
        <v>543</v>
      </c>
      <c r="F215" s="15">
        <f t="shared" si="80"/>
        <v>175</v>
      </c>
      <c r="G215" s="16">
        <f t="shared" si="76"/>
        <v>2</v>
      </c>
      <c r="H215" s="15"/>
      <c r="I215" s="15">
        <f t="shared" si="64"/>
        <v>0</v>
      </c>
      <c r="J215" s="15"/>
      <c r="K215" s="15">
        <f t="shared" si="77"/>
        <v>0</v>
      </c>
      <c r="L215" s="15">
        <v>1</v>
      </c>
      <c r="M215" s="15">
        <f t="shared" si="65"/>
        <v>175</v>
      </c>
      <c r="N215" s="15">
        <v>1</v>
      </c>
      <c r="O215" s="15">
        <f t="shared" si="66"/>
        <v>175</v>
      </c>
      <c r="P215" s="15"/>
      <c r="Q215" s="15">
        <f t="shared" si="67"/>
        <v>0</v>
      </c>
      <c r="R215" s="15"/>
      <c r="S215" s="15">
        <f t="shared" si="68"/>
        <v>0</v>
      </c>
      <c r="T215" s="15"/>
      <c r="U215" s="15">
        <f t="shared" si="69"/>
        <v>0</v>
      </c>
      <c r="V215" s="15">
        <f t="shared" si="59"/>
        <v>350</v>
      </c>
      <c r="W215" s="17"/>
      <c r="X215" s="17"/>
      <c r="Y215" s="18">
        <v>6.2E-2</v>
      </c>
      <c r="Z215" s="1">
        <f t="shared" si="70"/>
        <v>7</v>
      </c>
      <c r="AA215" s="21">
        <v>1</v>
      </c>
      <c r="AB215" s="1">
        <f>AD215*AA215</f>
        <v>175</v>
      </c>
      <c r="AC215" s="30"/>
      <c r="AD215" s="31">
        <v>175</v>
      </c>
      <c r="AE215" s="36" t="s">
        <v>542</v>
      </c>
      <c r="AF215" s="20">
        <f>SUMIF('[1]G-Chart'!G:G,[1]Capacity!D215,'[1]G-Chart'!L:L)</f>
        <v>198</v>
      </c>
      <c r="AG215" s="2">
        <f t="shared" si="71"/>
        <v>0</v>
      </c>
      <c r="AH215" s="2">
        <f t="shared" si="72"/>
        <v>198</v>
      </c>
      <c r="AI215" s="2">
        <f t="shared" si="78"/>
        <v>198</v>
      </c>
      <c r="AJ215" s="1">
        <f t="shared" si="73"/>
        <v>0</v>
      </c>
      <c r="AK215" s="1">
        <f t="shared" si="74"/>
        <v>0</v>
      </c>
      <c r="AL215" s="1">
        <f t="shared" si="75"/>
        <v>0</v>
      </c>
      <c r="AM215" s="1">
        <f t="shared" ref="AM215:AM278" si="81">AF215*G215</f>
        <v>396</v>
      </c>
    </row>
    <row r="216" spans="1:39" x14ac:dyDescent="0.3">
      <c r="A216" s="12">
        <v>214</v>
      </c>
      <c r="B216" s="12" t="s">
        <v>540</v>
      </c>
      <c r="C216" s="13" t="s">
        <v>544</v>
      </c>
      <c r="D216" s="13" t="s">
        <v>545</v>
      </c>
      <c r="E216" s="14" t="s">
        <v>546</v>
      </c>
      <c r="F216" s="15">
        <f t="shared" si="80"/>
        <v>175</v>
      </c>
      <c r="G216" s="16">
        <f t="shared" si="76"/>
        <v>2</v>
      </c>
      <c r="H216" s="15"/>
      <c r="I216" s="15">
        <f t="shared" si="64"/>
        <v>0</v>
      </c>
      <c r="J216" s="15"/>
      <c r="K216" s="15">
        <f t="shared" si="77"/>
        <v>0</v>
      </c>
      <c r="L216" s="15">
        <v>1</v>
      </c>
      <c r="M216" s="15">
        <f t="shared" si="65"/>
        <v>175</v>
      </c>
      <c r="N216" s="15">
        <v>1</v>
      </c>
      <c r="O216" s="15">
        <f t="shared" si="66"/>
        <v>175</v>
      </c>
      <c r="P216" s="15"/>
      <c r="Q216" s="15">
        <f t="shared" si="67"/>
        <v>0</v>
      </c>
      <c r="R216" s="15"/>
      <c r="S216" s="15">
        <f t="shared" si="68"/>
        <v>0</v>
      </c>
      <c r="T216" s="15"/>
      <c r="U216" s="15">
        <f t="shared" si="69"/>
        <v>0</v>
      </c>
      <c r="V216" s="15">
        <f t="shared" si="59"/>
        <v>350</v>
      </c>
      <c r="W216" s="17"/>
      <c r="X216" s="17"/>
      <c r="Y216" s="18">
        <v>6.2E-2</v>
      </c>
      <c r="Z216" s="1">
        <f t="shared" si="70"/>
        <v>7</v>
      </c>
      <c r="AA216" s="21">
        <v>1</v>
      </c>
      <c r="AB216" s="1">
        <f>AD216*AA216</f>
        <v>175</v>
      </c>
      <c r="AC216" s="30"/>
      <c r="AD216" s="31">
        <v>175</v>
      </c>
      <c r="AE216" s="36" t="s">
        <v>545</v>
      </c>
      <c r="AF216" s="20">
        <f>SUMIF('[1]G-Chart'!G:G,[1]Capacity!D216,'[1]G-Chart'!L:L)</f>
        <v>198</v>
      </c>
      <c r="AG216" s="2">
        <f t="shared" si="71"/>
        <v>0</v>
      </c>
      <c r="AH216" s="2">
        <f t="shared" si="72"/>
        <v>198</v>
      </c>
      <c r="AI216" s="2">
        <f t="shared" si="78"/>
        <v>198</v>
      </c>
      <c r="AJ216" s="1">
        <f t="shared" si="73"/>
        <v>0</v>
      </c>
      <c r="AK216" s="1">
        <f t="shared" si="74"/>
        <v>0</v>
      </c>
      <c r="AL216" s="1">
        <f t="shared" si="75"/>
        <v>0</v>
      </c>
      <c r="AM216" s="1">
        <f t="shared" si="81"/>
        <v>396</v>
      </c>
    </row>
    <row r="217" spans="1:39" x14ac:dyDescent="0.3">
      <c r="A217" s="12">
        <v>215</v>
      </c>
      <c r="B217" s="12" t="s">
        <v>109</v>
      </c>
      <c r="C217" s="13" t="s">
        <v>547</v>
      </c>
      <c r="D217" s="13" t="s">
        <v>548</v>
      </c>
      <c r="E217" s="14" t="s">
        <v>549</v>
      </c>
      <c r="F217" s="15">
        <f t="shared" si="80"/>
        <v>0</v>
      </c>
      <c r="G217" s="16">
        <f t="shared" si="76"/>
        <v>3</v>
      </c>
      <c r="H217" s="15"/>
      <c r="I217" s="15">
        <f t="shared" si="64"/>
        <v>0</v>
      </c>
      <c r="J217" s="15"/>
      <c r="K217" s="15">
        <f t="shared" si="77"/>
        <v>0</v>
      </c>
      <c r="L217" s="15"/>
      <c r="M217" s="15">
        <f t="shared" si="65"/>
        <v>0</v>
      </c>
      <c r="N217" s="15">
        <v>1.5</v>
      </c>
      <c r="O217" s="15">
        <f t="shared" si="66"/>
        <v>0</v>
      </c>
      <c r="P217" s="15">
        <v>1.5</v>
      </c>
      <c r="Q217" s="15">
        <f t="shared" si="67"/>
        <v>0</v>
      </c>
      <c r="R217" s="15"/>
      <c r="S217" s="15">
        <f t="shared" si="68"/>
        <v>0</v>
      </c>
      <c r="T217" s="15"/>
      <c r="U217" s="15">
        <f t="shared" si="69"/>
        <v>0</v>
      </c>
      <c r="V217" s="15">
        <f t="shared" si="59"/>
        <v>0</v>
      </c>
      <c r="W217" s="17"/>
      <c r="X217" s="17"/>
      <c r="Y217" s="18"/>
      <c r="Z217" s="1">
        <f t="shared" si="70"/>
        <v>0</v>
      </c>
      <c r="AA217" s="21"/>
      <c r="AC217" s="21"/>
      <c r="AE217" s="19"/>
      <c r="AF217" s="20">
        <f>SUMIF('[1]G-Chart'!G:G,[1]Capacity!D217,'[1]G-Chart'!L:L)</f>
        <v>0</v>
      </c>
      <c r="AG217" s="2">
        <f t="shared" si="71"/>
        <v>0</v>
      </c>
      <c r="AH217" s="2">
        <f t="shared" si="72"/>
        <v>0</v>
      </c>
      <c r="AI217" s="2">
        <f t="shared" si="78"/>
        <v>0</v>
      </c>
      <c r="AJ217" s="1">
        <f t="shared" si="73"/>
        <v>0</v>
      </c>
      <c r="AK217" s="1">
        <f t="shared" si="74"/>
        <v>0</v>
      </c>
      <c r="AL217" s="1">
        <f t="shared" si="75"/>
        <v>0</v>
      </c>
      <c r="AM217" s="1">
        <f t="shared" si="81"/>
        <v>0</v>
      </c>
    </row>
    <row r="218" spans="1:39" x14ac:dyDescent="0.3">
      <c r="A218" s="12">
        <v>216</v>
      </c>
      <c r="B218" s="12" t="s">
        <v>109</v>
      </c>
      <c r="C218" s="13" t="s">
        <v>550</v>
      </c>
      <c r="D218" s="13" t="s">
        <v>551</v>
      </c>
      <c r="E218" s="14" t="s">
        <v>552</v>
      </c>
      <c r="F218" s="15">
        <f t="shared" si="80"/>
        <v>0</v>
      </c>
      <c r="G218" s="16">
        <f t="shared" si="76"/>
        <v>3</v>
      </c>
      <c r="H218" s="15"/>
      <c r="I218" s="15">
        <f t="shared" si="64"/>
        <v>0</v>
      </c>
      <c r="J218" s="15"/>
      <c r="K218" s="15">
        <f t="shared" si="77"/>
        <v>0</v>
      </c>
      <c r="L218" s="15">
        <v>3</v>
      </c>
      <c r="M218" s="15">
        <f t="shared" si="65"/>
        <v>0</v>
      </c>
      <c r="N218" s="15"/>
      <c r="O218" s="15">
        <f t="shared" si="66"/>
        <v>0</v>
      </c>
      <c r="P218" s="15"/>
      <c r="Q218" s="15">
        <f t="shared" si="67"/>
        <v>0</v>
      </c>
      <c r="R218" s="15"/>
      <c r="S218" s="15">
        <f t="shared" si="68"/>
        <v>0</v>
      </c>
      <c r="T218" s="15"/>
      <c r="U218" s="15">
        <f t="shared" si="69"/>
        <v>0</v>
      </c>
      <c r="V218" s="15">
        <f t="shared" si="59"/>
        <v>0</v>
      </c>
      <c r="W218" s="17"/>
      <c r="X218" s="17"/>
      <c r="Y218" s="18"/>
      <c r="Z218" s="1">
        <f t="shared" si="70"/>
        <v>0</v>
      </c>
      <c r="AA218" s="21"/>
      <c r="AC218" s="21"/>
      <c r="AE218" s="19"/>
      <c r="AF218" s="20">
        <f>SUMIF('[1]G-Chart'!G:G,[1]Capacity!D218,'[1]G-Chart'!L:L)</f>
        <v>0</v>
      </c>
      <c r="AG218" s="2">
        <f t="shared" si="71"/>
        <v>0</v>
      </c>
      <c r="AH218" s="2">
        <f t="shared" si="72"/>
        <v>0</v>
      </c>
      <c r="AI218" s="2">
        <f t="shared" si="78"/>
        <v>0</v>
      </c>
      <c r="AJ218" s="1">
        <f t="shared" si="73"/>
        <v>0</v>
      </c>
      <c r="AK218" s="1">
        <f t="shared" si="74"/>
        <v>0</v>
      </c>
      <c r="AL218" s="1">
        <f t="shared" si="75"/>
        <v>0</v>
      </c>
      <c r="AM218" s="1">
        <f t="shared" si="81"/>
        <v>0</v>
      </c>
    </row>
    <row r="219" spans="1:39" x14ac:dyDescent="0.3">
      <c r="A219" s="12">
        <v>217</v>
      </c>
      <c r="B219" s="12" t="s">
        <v>109</v>
      </c>
      <c r="C219" s="13" t="s">
        <v>553</v>
      </c>
      <c r="D219" s="13" t="s">
        <v>554</v>
      </c>
      <c r="E219" s="14" t="s">
        <v>555</v>
      </c>
      <c r="F219" s="15">
        <f t="shared" si="80"/>
        <v>0</v>
      </c>
      <c r="G219" s="16">
        <f t="shared" si="76"/>
        <v>3</v>
      </c>
      <c r="H219" s="15"/>
      <c r="I219" s="15">
        <f t="shared" si="64"/>
        <v>0</v>
      </c>
      <c r="J219" s="15"/>
      <c r="K219" s="15">
        <f t="shared" si="77"/>
        <v>0</v>
      </c>
      <c r="L219" s="15"/>
      <c r="M219" s="15">
        <f t="shared" si="65"/>
        <v>0</v>
      </c>
      <c r="N219" s="15">
        <v>1.5</v>
      </c>
      <c r="O219" s="15">
        <f t="shared" si="66"/>
        <v>0</v>
      </c>
      <c r="P219" s="15">
        <v>1.5</v>
      </c>
      <c r="Q219" s="15">
        <f t="shared" si="67"/>
        <v>0</v>
      </c>
      <c r="R219" s="15"/>
      <c r="S219" s="15">
        <f t="shared" si="68"/>
        <v>0</v>
      </c>
      <c r="T219" s="15"/>
      <c r="U219" s="15">
        <f t="shared" si="69"/>
        <v>0</v>
      </c>
      <c r="V219" s="15">
        <f t="shared" si="59"/>
        <v>0</v>
      </c>
      <c r="W219" s="17"/>
      <c r="X219" s="17"/>
      <c r="Y219" s="18"/>
      <c r="Z219" s="1">
        <f t="shared" si="70"/>
        <v>0</v>
      </c>
      <c r="AA219" s="21"/>
      <c r="AC219" s="21"/>
      <c r="AE219" s="19"/>
      <c r="AF219" s="20">
        <f>SUMIF('[1]G-Chart'!G:G,[1]Capacity!D219,'[1]G-Chart'!L:L)</f>
        <v>0</v>
      </c>
      <c r="AG219" s="2">
        <f t="shared" si="71"/>
        <v>0</v>
      </c>
      <c r="AH219" s="2">
        <f t="shared" si="72"/>
        <v>0</v>
      </c>
      <c r="AI219" s="2">
        <f t="shared" si="78"/>
        <v>0</v>
      </c>
      <c r="AJ219" s="1">
        <f t="shared" si="73"/>
        <v>0</v>
      </c>
      <c r="AK219" s="1">
        <f t="shared" si="74"/>
        <v>0</v>
      </c>
      <c r="AL219" s="1">
        <f t="shared" si="75"/>
        <v>0</v>
      </c>
      <c r="AM219" s="1">
        <f t="shared" si="81"/>
        <v>0</v>
      </c>
    </row>
    <row r="220" spans="1:39" x14ac:dyDescent="0.3">
      <c r="A220" s="12">
        <v>218</v>
      </c>
      <c r="B220" s="12" t="s">
        <v>26</v>
      </c>
      <c r="C220" s="13" t="s">
        <v>556</v>
      </c>
      <c r="D220" s="13" t="s">
        <v>556</v>
      </c>
      <c r="E220" s="14"/>
      <c r="F220" s="15">
        <v>0</v>
      </c>
      <c r="G220" s="16">
        <f t="shared" si="76"/>
        <v>0</v>
      </c>
      <c r="H220" s="15"/>
      <c r="I220" s="15">
        <f t="shared" si="64"/>
        <v>0</v>
      </c>
      <c r="J220" s="15"/>
      <c r="K220" s="15">
        <f t="shared" si="77"/>
        <v>0</v>
      </c>
      <c r="L220" s="15"/>
      <c r="M220" s="15">
        <f t="shared" si="65"/>
        <v>0</v>
      </c>
      <c r="N220" s="15"/>
      <c r="O220" s="15">
        <f t="shared" si="66"/>
        <v>0</v>
      </c>
      <c r="P220" s="15"/>
      <c r="Q220" s="15">
        <f t="shared" si="67"/>
        <v>0</v>
      </c>
      <c r="R220" s="15"/>
      <c r="S220" s="15">
        <f t="shared" si="68"/>
        <v>0</v>
      </c>
      <c r="T220" s="15"/>
      <c r="U220" s="15">
        <f t="shared" si="69"/>
        <v>0</v>
      </c>
      <c r="V220" s="15">
        <f t="shared" si="59"/>
        <v>0</v>
      </c>
      <c r="W220" s="17"/>
      <c r="X220" s="17"/>
      <c r="Y220" s="18">
        <v>8.8999999999999996E-2</v>
      </c>
      <c r="Z220" s="1">
        <f t="shared" si="70"/>
        <v>0</v>
      </c>
      <c r="AA220" s="21"/>
      <c r="AC220" s="21"/>
      <c r="AE220" s="19"/>
      <c r="AF220" s="20">
        <f>SUMIF('[1]G-Chart'!G:G,[1]Capacity!D220,'[1]G-Chart'!L:L)</f>
        <v>0</v>
      </c>
      <c r="AG220" s="2">
        <f t="shared" si="71"/>
        <v>0</v>
      </c>
      <c r="AH220" s="2">
        <f t="shared" si="72"/>
        <v>0</v>
      </c>
      <c r="AI220" s="2">
        <f t="shared" si="78"/>
        <v>0</v>
      </c>
      <c r="AJ220" s="1">
        <f t="shared" si="73"/>
        <v>0</v>
      </c>
      <c r="AK220" s="1">
        <f t="shared" si="74"/>
        <v>0</v>
      </c>
      <c r="AL220" s="1">
        <f t="shared" si="75"/>
        <v>0</v>
      </c>
      <c r="AM220" s="1">
        <f t="shared" si="81"/>
        <v>0</v>
      </c>
    </row>
    <row r="221" spans="1:39" x14ac:dyDescent="0.3">
      <c r="A221" s="12">
        <v>219</v>
      </c>
      <c r="B221" s="12" t="s">
        <v>557</v>
      </c>
      <c r="C221" s="13" t="s">
        <v>558</v>
      </c>
      <c r="D221" s="13" t="s">
        <v>559</v>
      </c>
      <c r="E221" s="14" t="s">
        <v>560</v>
      </c>
      <c r="F221" s="15">
        <f>AB221</f>
        <v>367</v>
      </c>
      <c r="G221" s="16">
        <f t="shared" si="76"/>
        <v>1</v>
      </c>
      <c r="H221" s="15"/>
      <c r="I221" s="15">
        <f t="shared" si="64"/>
        <v>0</v>
      </c>
      <c r="J221" s="15">
        <v>1</v>
      </c>
      <c r="K221" s="15">
        <f t="shared" si="77"/>
        <v>367</v>
      </c>
      <c r="L221" s="15"/>
      <c r="M221" s="15">
        <f t="shared" si="65"/>
        <v>0</v>
      </c>
      <c r="N221" s="15"/>
      <c r="O221" s="15">
        <f t="shared" si="66"/>
        <v>0</v>
      </c>
      <c r="P221" s="15"/>
      <c r="Q221" s="15">
        <f t="shared" si="67"/>
        <v>0</v>
      </c>
      <c r="R221" s="15"/>
      <c r="S221" s="15">
        <f t="shared" si="68"/>
        <v>0</v>
      </c>
      <c r="T221" s="15"/>
      <c r="U221" s="15">
        <f t="shared" si="69"/>
        <v>0</v>
      </c>
      <c r="V221" s="15">
        <f t="shared" si="59"/>
        <v>367</v>
      </c>
      <c r="W221" s="17"/>
      <c r="X221" s="17"/>
      <c r="Y221" s="18">
        <v>0.28000000000000003</v>
      </c>
      <c r="Z221" s="1">
        <f t="shared" si="70"/>
        <v>14.68</v>
      </c>
      <c r="AA221" s="21">
        <v>1</v>
      </c>
      <c r="AB221" s="1">
        <f>$AD$221+AD289*AA221</f>
        <v>367</v>
      </c>
      <c r="AC221" s="30"/>
      <c r="AD221" s="31">
        <v>257</v>
      </c>
      <c r="AE221" s="32" t="s">
        <v>561</v>
      </c>
      <c r="AF221" s="20">
        <f>SUMIF('[1]G-Chart'!G:G,[1]Capacity!D221,'[1]G-Chart'!L:L)</f>
        <v>211</v>
      </c>
      <c r="AG221" s="2">
        <f t="shared" si="71"/>
        <v>211</v>
      </c>
      <c r="AH221" s="2">
        <f t="shared" si="72"/>
        <v>0</v>
      </c>
      <c r="AI221" s="2">
        <f t="shared" si="78"/>
        <v>0</v>
      </c>
      <c r="AJ221" s="1">
        <f t="shared" si="73"/>
        <v>0</v>
      </c>
      <c r="AK221" s="1">
        <f t="shared" si="74"/>
        <v>0</v>
      </c>
      <c r="AL221" s="1">
        <f t="shared" si="75"/>
        <v>0</v>
      </c>
      <c r="AM221" s="1">
        <f t="shared" si="81"/>
        <v>211</v>
      </c>
    </row>
    <row r="222" spans="1:39" x14ac:dyDescent="0.3">
      <c r="A222" s="12">
        <v>220</v>
      </c>
      <c r="B222" s="12" t="s">
        <v>557</v>
      </c>
      <c r="C222" s="13" t="s">
        <v>562</v>
      </c>
      <c r="D222" s="13" t="s">
        <v>563</v>
      </c>
      <c r="E222" s="14" t="s">
        <v>564</v>
      </c>
      <c r="F222" s="15">
        <f>AB222</f>
        <v>367</v>
      </c>
      <c r="G222" s="16">
        <f t="shared" si="76"/>
        <v>1</v>
      </c>
      <c r="H222" s="15"/>
      <c r="I222" s="15">
        <f t="shared" si="64"/>
        <v>0</v>
      </c>
      <c r="J222" s="15">
        <v>1</v>
      </c>
      <c r="K222" s="15">
        <f t="shared" si="77"/>
        <v>367</v>
      </c>
      <c r="L222" s="15"/>
      <c r="M222" s="15">
        <f t="shared" si="65"/>
        <v>0</v>
      </c>
      <c r="N222" s="15"/>
      <c r="O222" s="15">
        <f t="shared" si="66"/>
        <v>0</v>
      </c>
      <c r="P222" s="15"/>
      <c r="Q222" s="15">
        <f t="shared" si="67"/>
        <v>0</v>
      </c>
      <c r="R222" s="15"/>
      <c r="S222" s="15">
        <f t="shared" si="68"/>
        <v>0</v>
      </c>
      <c r="T222" s="15"/>
      <c r="U222" s="15">
        <f t="shared" si="69"/>
        <v>0</v>
      </c>
      <c r="V222" s="15">
        <f t="shared" si="59"/>
        <v>367</v>
      </c>
      <c r="W222" s="17"/>
      <c r="X222" s="17"/>
      <c r="Y222" s="18">
        <v>0.28000000000000003</v>
      </c>
      <c r="Z222" s="1">
        <f t="shared" si="70"/>
        <v>14.68</v>
      </c>
      <c r="AA222" s="21">
        <v>1</v>
      </c>
      <c r="AB222" s="1">
        <f>$AD$221+AD289*AA222</f>
        <v>367</v>
      </c>
      <c r="AC222" s="21"/>
      <c r="AD222" s="18"/>
      <c r="AE222" s="49"/>
      <c r="AF222" s="20">
        <f>SUMIF('[1]G-Chart'!G:G,[1]Capacity!D222,'[1]G-Chart'!L:L)</f>
        <v>190</v>
      </c>
      <c r="AG222" s="2">
        <f t="shared" si="71"/>
        <v>190</v>
      </c>
      <c r="AH222" s="2">
        <f t="shared" si="72"/>
        <v>0</v>
      </c>
      <c r="AI222" s="2">
        <f t="shared" si="78"/>
        <v>0</v>
      </c>
      <c r="AJ222" s="1">
        <f t="shared" si="73"/>
        <v>0</v>
      </c>
      <c r="AK222" s="1">
        <f t="shared" si="74"/>
        <v>0</v>
      </c>
      <c r="AL222" s="1">
        <f t="shared" si="75"/>
        <v>0</v>
      </c>
      <c r="AM222" s="1">
        <f t="shared" si="81"/>
        <v>190</v>
      </c>
    </row>
    <row r="223" spans="1:39" x14ac:dyDescent="0.3">
      <c r="A223" s="12">
        <v>221</v>
      </c>
      <c r="B223" s="12" t="s">
        <v>276</v>
      </c>
      <c r="C223" s="13" t="s">
        <v>565</v>
      </c>
      <c r="D223" s="23" t="s">
        <v>566</v>
      </c>
      <c r="E223" s="14" t="s">
        <v>567</v>
      </c>
      <c r="F223" s="15">
        <f>+AB223</f>
        <v>0</v>
      </c>
      <c r="G223" s="16">
        <f t="shared" si="76"/>
        <v>0</v>
      </c>
      <c r="H223" s="15"/>
      <c r="I223" s="15">
        <f t="shared" si="64"/>
        <v>0</v>
      </c>
      <c r="J223" s="15"/>
      <c r="K223" s="15">
        <f t="shared" si="77"/>
        <v>0</v>
      </c>
      <c r="L223" s="15"/>
      <c r="M223" s="15">
        <f t="shared" si="65"/>
        <v>0</v>
      </c>
      <c r="N223" s="15"/>
      <c r="O223" s="15">
        <f t="shared" si="66"/>
        <v>0</v>
      </c>
      <c r="P223" s="15"/>
      <c r="Q223" s="15">
        <f t="shared" si="67"/>
        <v>0</v>
      </c>
      <c r="R223" s="15"/>
      <c r="S223" s="15">
        <f t="shared" si="68"/>
        <v>0</v>
      </c>
      <c r="T223" s="15"/>
      <c r="U223" s="15">
        <f t="shared" si="69"/>
        <v>0</v>
      </c>
      <c r="V223" s="15">
        <f t="shared" si="59"/>
        <v>0</v>
      </c>
      <c r="W223" s="17"/>
      <c r="X223" s="17"/>
      <c r="Y223" s="18">
        <v>0.26300000000000001</v>
      </c>
      <c r="Z223" s="1">
        <f t="shared" si="70"/>
        <v>0</v>
      </c>
      <c r="AA223" s="21">
        <v>0</v>
      </c>
      <c r="AB223" s="1">
        <f>$AD$39*AA223</f>
        <v>0</v>
      </c>
      <c r="AC223" s="21"/>
      <c r="AE223" s="19"/>
      <c r="AF223" s="20">
        <f>SUMIF('[1]G-Chart'!G:G,[1]Capacity!D223,'[1]G-Chart'!L:L)</f>
        <v>0</v>
      </c>
      <c r="AG223" s="2">
        <f t="shared" si="71"/>
        <v>0</v>
      </c>
      <c r="AH223" s="2">
        <f t="shared" si="72"/>
        <v>0</v>
      </c>
      <c r="AI223" s="2">
        <f t="shared" si="78"/>
        <v>0</v>
      </c>
      <c r="AJ223" s="1">
        <f t="shared" si="73"/>
        <v>0</v>
      </c>
      <c r="AK223" s="1">
        <f t="shared" si="74"/>
        <v>0</v>
      </c>
      <c r="AL223" s="1">
        <f t="shared" si="75"/>
        <v>0</v>
      </c>
      <c r="AM223" s="1">
        <f t="shared" si="81"/>
        <v>0</v>
      </c>
    </row>
    <row r="224" spans="1:39" x14ac:dyDescent="0.3">
      <c r="A224" s="12">
        <v>222</v>
      </c>
      <c r="B224" s="12" t="s">
        <v>322</v>
      </c>
      <c r="C224" s="13" t="s">
        <v>568</v>
      </c>
      <c r="D224" s="13" t="s">
        <v>568</v>
      </c>
      <c r="E224" s="14" t="s">
        <v>569</v>
      </c>
      <c r="F224" s="15">
        <v>0</v>
      </c>
      <c r="G224" s="16">
        <f t="shared" si="76"/>
        <v>2</v>
      </c>
      <c r="H224" s="15"/>
      <c r="I224" s="15">
        <f t="shared" si="64"/>
        <v>0</v>
      </c>
      <c r="J224" s="15"/>
      <c r="K224" s="15">
        <f t="shared" si="77"/>
        <v>0</v>
      </c>
      <c r="L224" s="15">
        <v>1</v>
      </c>
      <c r="M224" s="15">
        <f t="shared" si="65"/>
        <v>0</v>
      </c>
      <c r="N224" s="15"/>
      <c r="O224" s="15">
        <f t="shared" si="66"/>
        <v>0</v>
      </c>
      <c r="P224" s="15">
        <v>1</v>
      </c>
      <c r="Q224" s="15">
        <f t="shared" si="67"/>
        <v>0</v>
      </c>
      <c r="R224" s="15"/>
      <c r="S224" s="15">
        <f t="shared" si="68"/>
        <v>0</v>
      </c>
      <c r="T224" s="15"/>
      <c r="U224" s="15">
        <f t="shared" si="69"/>
        <v>0</v>
      </c>
      <c r="V224" s="15">
        <f t="shared" si="59"/>
        <v>0</v>
      </c>
      <c r="W224" s="17"/>
      <c r="X224" s="17"/>
      <c r="Y224" s="18">
        <v>5.7000000000000002E-2</v>
      </c>
      <c r="Z224" s="1">
        <f t="shared" si="70"/>
        <v>0</v>
      </c>
      <c r="AA224" s="21"/>
      <c r="AC224" s="21"/>
      <c r="AE224" s="19"/>
      <c r="AF224" s="20">
        <f>SUMIF('[1]G-Chart'!G:G,[1]Capacity!D224,'[1]G-Chart'!L:L)</f>
        <v>0</v>
      </c>
      <c r="AG224" s="2">
        <f t="shared" si="71"/>
        <v>0</v>
      </c>
      <c r="AH224" s="2">
        <f t="shared" si="72"/>
        <v>0</v>
      </c>
      <c r="AI224" s="2">
        <f t="shared" si="78"/>
        <v>0</v>
      </c>
      <c r="AJ224" s="1">
        <f t="shared" si="73"/>
        <v>0</v>
      </c>
      <c r="AK224" s="1">
        <f t="shared" si="74"/>
        <v>0</v>
      </c>
      <c r="AL224" s="1">
        <f t="shared" si="75"/>
        <v>0</v>
      </c>
      <c r="AM224" s="1">
        <f t="shared" si="81"/>
        <v>0</v>
      </c>
    </row>
    <row r="225" spans="1:39" x14ac:dyDescent="0.3">
      <c r="A225" s="12">
        <v>223</v>
      </c>
      <c r="B225" s="12" t="s">
        <v>322</v>
      </c>
      <c r="C225" s="13" t="s">
        <v>570</v>
      </c>
      <c r="D225" s="13" t="s">
        <v>570</v>
      </c>
      <c r="E225" s="14"/>
      <c r="F225" s="15">
        <v>0</v>
      </c>
      <c r="G225" s="16">
        <f t="shared" si="76"/>
        <v>0</v>
      </c>
      <c r="H225" s="15"/>
      <c r="I225" s="15">
        <f t="shared" si="64"/>
        <v>0</v>
      </c>
      <c r="J225" s="15"/>
      <c r="K225" s="15">
        <f t="shared" si="77"/>
        <v>0</v>
      </c>
      <c r="L225" s="15"/>
      <c r="M225" s="15">
        <f t="shared" si="65"/>
        <v>0</v>
      </c>
      <c r="N225" s="15"/>
      <c r="O225" s="15">
        <f t="shared" si="66"/>
        <v>0</v>
      </c>
      <c r="P225" s="15"/>
      <c r="Q225" s="15">
        <f t="shared" si="67"/>
        <v>0</v>
      </c>
      <c r="R225" s="15"/>
      <c r="S225" s="15">
        <f t="shared" si="68"/>
        <v>0</v>
      </c>
      <c r="T225" s="15"/>
      <c r="U225" s="15">
        <f t="shared" si="69"/>
        <v>0</v>
      </c>
      <c r="V225" s="15">
        <f t="shared" si="59"/>
        <v>0</v>
      </c>
      <c r="W225" s="17"/>
      <c r="X225" s="17"/>
      <c r="Y225" s="18">
        <v>0.128</v>
      </c>
      <c r="Z225" s="1">
        <f t="shared" si="70"/>
        <v>0</v>
      </c>
      <c r="AA225" s="21"/>
      <c r="AC225" s="21"/>
      <c r="AE225" s="19"/>
      <c r="AF225" s="20">
        <f>SUMIF('[1]G-Chart'!G:G,[1]Capacity!D225,'[1]G-Chart'!L:L)</f>
        <v>0</v>
      </c>
      <c r="AG225" s="2">
        <f t="shared" si="71"/>
        <v>0</v>
      </c>
      <c r="AH225" s="2">
        <f t="shared" si="72"/>
        <v>0</v>
      </c>
      <c r="AI225" s="2">
        <f t="shared" si="78"/>
        <v>0</v>
      </c>
      <c r="AJ225" s="1">
        <f t="shared" si="73"/>
        <v>0</v>
      </c>
      <c r="AK225" s="1">
        <f t="shared" si="74"/>
        <v>0</v>
      </c>
      <c r="AL225" s="1">
        <f t="shared" si="75"/>
        <v>0</v>
      </c>
      <c r="AM225" s="1">
        <f t="shared" si="81"/>
        <v>0</v>
      </c>
    </row>
    <row r="226" spans="1:39" x14ac:dyDescent="0.3">
      <c r="A226" s="12">
        <v>224</v>
      </c>
      <c r="B226" s="12" t="s">
        <v>322</v>
      </c>
      <c r="C226" s="13" t="s">
        <v>571</v>
      </c>
      <c r="D226" s="13" t="s">
        <v>571</v>
      </c>
      <c r="E226" s="14" t="s">
        <v>572</v>
      </c>
      <c r="F226" s="15">
        <v>0</v>
      </c>
      <c r="G226" s="16">
        <f t="shared" si="76"/>
        <v>2</v>
      </c>
      <c r="H226" s="15"/>
      <c r="I226" s="15">
        <f t="shared" si="64"/>
        <v>0</v>
      </c>
      <c r="J226" s="15"/>
      <c r="K226" s="15">
        <f t="shared" si="77"/>
        <v>0</v>
      </c>
      <c r="L226" s="15">
        <v>2</v>
      </c>
      <c r="M226" s="15">
        <f t="shared" si="65"/>
        <v>0</v>
      </c>
      <c r="N226" s="15"/>
      <c r="O226" s="15">
        <f t="shared" si="66"/>
        <v>0</v>
      </c>
      <c r="P226" s="15"/>
      <c r="Q226" s="15">
        <f t="shared" si="67"/>
        <v>0</v>
      </c>
      <c r="R226" s="15"/>
      <c r="S226" s="15">
        <f t="shared" si="68"/>
        <v>0</v>
      </c>
      <c r="T226" s="15"/>
      <c r="U226" s="15">
        <f t="shared" si="69"/>
        <v>0</v>
      </c>
      <c r="V226" s="15">
        <f t="shared" si="59"/>
        <v>0</v>
      </c>
      <c r="W226" s="17"/>
      <c r="X226" s="17"/>
      <c r="Y226" s="18">
        <v>6.5000000000000002E-2</v>
      </c>
      <c r="Z226" s="1">
        <f t="shared" si="70"/>
        <v>0</v>
      </c>
      <c r="AA226" s="21"/>
      <c r="AC226" s="21"/>
      <c r="AE226" s="19"/>
      <c r="AF226" s="20">
        <f>SUMIF('[1]G-Chart'!G:G,[1]Capacity!D226,'[1]G-Chart'!L:L)</f>
        <v>0</v>
      </c>
      <c r="AG226" s="2">
        <f t="shared" si="71"/>
        <v>0</v>
      </c>
      <c r="AH226" s="2">
        <f t="shared" si="72"/>
        <v>0</v>
      </c>
      <c r="AI226" s="2">
        <f t="shared" si="78"/>
        <v>0</v>
      </c>
      <c r="AJ226" s="1">
        <f t="shared" si="73"/>
        <v>0</v>
      </c>
      <c r="AK226" s="1">
        <f t="shared" si="74"/>
        <v>0</v>
      </c>
      <c r="AL226" s="1">
        <f t="shared" si="75"/>
        <v>0</v>
      </c>
      <c r="AM226" s="1">
        <f t="shared" si="81"/>
        <v>0</v>
      </c>
    </row>
    <row r="227" spans="1:39" x14ac:dyDescent="0.3">
      <c r="A227" s="12">
        <v>225</v>
      </c>
      <c r="B227" s="12" t="s">
        <v>322</v>
      </c>
      <c r="C227" s="13" t="s">
        <v>573</v>
      </c>
      <c r="D227" s="13" t="s">
        <v>573</v>
      </c>
      <c r="E227" s="14" t="s">
        <v>574</v>
      </c>
      <c r="F227" s="15">
        <v>0</v>
      </c>
      <c r="G227" s="16">
        <f t="shared" si="76"/>
        <v>2</v>
      </c>
      <c r="H227" s="15"/>
      <c r="I227" s="15">
        <f t="shared" si="64"/>
        <v>0</v>
      </c>
      <c r="J227" s="15"/>
      <c r="K227" s="15">
        <f t="shared" si="77"/>
        <v>0</v>
      </c>
      <c r="L227" s="15">
        <v>2</v>
      </c>
      <c r="M227" s="15">
        <f t="shared" si="65"/>
        <v>0</v>
      </c>
      <c r="N227" s="15"/>
      <c r="O227" s="15">
        <f t="shared" si="66"/>
        <v>0</v>
      </c>
      <c r="P227" s="15"/>
      <c r="Q227" s="15">
        <f t="shared" si="67"/>
        <v>0</v>
      </c>
      <c r="R227" s="15"/>
      <c r="S227" s="15">
        <f t="shared" si="68"/>
        <v>0</v>
      </c>
      <c r="T227" s="15"/>
      <c r="U227" s="15">
        <f t="shared" si="69"/>
        <v>0</v>
      </c>
      <c r="V227" s="15">
        <f t="shared" si="59"/>
        <v>0</v>
      </c>
      <c r="W227" s="17"/>
      <c r="X227" s="17"/>
      <c r="Y227" s="18">
        <v>5.8999999999999997E-2</v>
      </c>
      <c r="Z227" s="1">
        <f t="shared" si="70"/>
        <v>0</v>
      </c>
      <c r="AA227" s="21"/>
      <c r="AC227" s="21"/>
      <c r="AE227" s="19"/>
      <c r="AF227" s="20">
        <f>SUMIF('[1]G-Chart'!G:G,[1]Capacity!D227,'[1]G-Chart'!L:L)</f>
        <v>0</v>
      </c>
      <c r="AG227" s="2">
        <f t="shared" si="71"/>
        <v>0</v>
      </c>
      <c r="AH227" s="2">
        <f t="shared" si="72"/>
        <v>0</v>
      </c>
      <c r="AI227" s="2">
        <f t="shared" si="78"/>
        <v>0</v>
      </c>
      <c r="AJ227" s="1">
        <f t="shared" si="73"/>
        <v>0</v>
      </c>
      <c r="AK227" s="1">
        <f t="shared" si="74"/>
        <v>0</v>
      </c>
      <c r="AL227" s="1">
        <f t="shared" si="75"/>
        <v>0</v>
      </c>
      <c r="AM227" s="1">
        <f t="shared" si="81"/>
        <v>0</v>
      </c>
    </row>
    <row r="228" spans="1:39" x14ac:dyDescent="0.3">
      <c r="A228" s="12">
        <v>226</v>
      </c>
      <c r="B228" s="12" t="s">
        <v>322</v>
      </c>
      <c r="C228" s="13" t="s">
        <v>575</v>
      </c>
      <c r="D228" s="13" t="s">
        <v>575</v>
      </c>
      <c r="E228" s="14" t="s">
        <v>576</v>
      </c>
      <c r="F228" s="15">
        <v>0</v>
      </c>
      <c r="G228" s="16">
        <f t="shared" si="76"/>
        <v>2</v>
      </c>
      <c r="H228" s="15"/>
      <c r="I228" s="15">
        <f t="shared" si="64"/>
        <v>0</v>
      </c>
      <c r="J228" s="15"/>
      <c r="K228" s="15">
        <f t="shared" si="77"/>
        <v>0</v>
      </c>
      <c r="L228" s="15">
        <v>2</v>
      </c>
      <c r="M228" s="15">
        <f t="shared" si="65"/>
        <v>0</v>
      </c>
      <c r="N228" s="15"/>
      <c r="O228" s="15">
        <f t="shared" si="66"/>
        <v>0</v>
      </c>
      <c r="P228" s="15"/>
      <c r="Q228" s="15">
        <f t="shared" si="67"/>
        <v>0</v>
      </c>
      <c r="R228" s="15"/>
      <c r="S228" s="15">
        <f t="shared" si="68"/>
        <v>0</v>
      </c>
      <c r="T228" s="15"/>
      <c r="U228" s="15">
        <f t="shared" si="69"/>
        <v>0</v>
      </c>
      <c r="V228" s="15">
        <f t="shared" si="59"/>
        <v>0</v>
      </c>
      <c r="W228" s="17"/>
      <c r="X228" s="17"/>
      <c r="Y228" s="18">
        <v>6.5000000000000002E-2</v>
      </c>
      <c r="Z228" s="1">
        <f t="shared" si="70"/>
        <v>0</v>
      </c>
      <c r="AA228" s="21"/>
      <c r="AC228" s="21"/>
      <c r="AE228" s="19"/>
      <c r="AF228" s="20">
        <f>SUMIF('[1]G-Chart'!G:G,[1]Capacity!D228,'[1]G-Chart'!L:L)</f>
        <v>0</v>
      </c>
      <c r="AG228" s="2">
        <f t="shared" si="71"/>
        <v>0</v>
      </c>
      <c r="AH228" s="2">
        <f t="shared" si="72"/>
        <v>0</v>
      </c>
      <c r="AI228" s="2">
        <f t="shared" si="78"/>
        <v>0</v>
      </c>
      <c r="AJ228" s="1">
        <f t="shared" si="73"/>
        <v>0</v>
      </c>
      <c r="AK228" s="1">
        <f t="shared" si="74"/>
        <v>0</v>
      </c>
      <c r="AL228" s="1">
        <f t="shared" si="75"/>
        <v>0</v>
      </c>
      <c r="AM228" s="1">
        <f t="shared" si="81"/>
        <v>0</v>
      </c>
    </row>
    <row r="229" spans="1:39" x14ac:dyDescent="0.3">
      <c r="A229" s="12">
        <v>227</v>
      </c>
      <c r="B229" s="12" t="s">
        <v>322</v>
      </c>
      <c r="C229" s="13" t="s">
        <v>577</v>
      </c>
      <c r="D229" s="13" t="s">
        <v>577</v>
      </c>
      <c r="E229" s="14" t="s">
        <v>578</v>
      </c>
      <c r="F229" s="15">
        <v>0</v>
      </c>
      <c r="G229" s="16">
        <f t="shared" si="76"/>
        <v>2</v>
      </c>
      <c r="H229" s="15"/>
      <c r="I229" s="15">
        <f t="shared" si="64"/>
        <v>0</v>
      </c>
      <c r="J229" s="15"/>
      <c r="K229" s="15">
        <f t="shared" si="77"/>
        <v>0</v>
      </c>
      <c r="L229" s="15">
        <v>2</v>
      </c>
      <c r="M229" s="15">
        <f t="shared" si="65"/>
        <v>0</v>
      </c>
      <c r="N229" s="15"/>
      <c r="O229" s="15">
        <f t="shared" si="66"/>
        <v>0</v>
      </c>
      <c r="P229" s="15"/>
      <c r="Q229" s="15">
        <f t="shared" si="67"/>
        <v>0</v>
      </c>
      <c r="R229" s="15"/>
      <c r="S229" s="15">
        <f t="shared" si="68"/>
        <v>0</v>
      </c>
      <c r="T229" s="15"/>
      <c r="U229" s="15">
        <f t="shared" si="69"/>
        <v>0</v>
      </c>
      <c r="V229" s="15">
        <f t="shared" si="59"/>
        <v>0</v>
      </c>
      <c r="W229" s="17"/>
      <c r="X229" s="17"/>
      <c r="Y229" s="18">
        <v>5.8999999999999997E-2</v>
      </c>
      <c r="Z229" s="1">
        <f t="shared" si="70"/>
        <v>0</v>
      </c>
      <c r="AA229" s="21"/>
      <c r="AC229" s="21"/>
      <c r="AE229" s="19"/>
      <c r="AF229" s="20">
        <f>SUMIF('[1]G-Chart'!G:G,[1]Capacity!D229,'[1]G-Chart'!L:L)</f>
        <v>0</v>
      </c>
      <c r="AG229" s="2">
        <f t="shared" si="71"/>
        <v>0</v>
      </c>
      <c r="AH229" s="2">
        <f t="shared" si="72"/>
        <v>0</v>
      </c>
      <c r="AI229" s="2">
        <f t="shared" si="78"/>
        <v>0</v>
      </c>
      <c r="AJ229" s="1">
        <f t="shared" si="73"/>
        <v>0</v>
      </c>
      <c r="AK229" s="1">
        <f t="shared" si="74"/>
        <v>0</v>
      </c>
      <c r="AL229" s="1">
        <f t="shared" si="75"/>
        <v>0</v>
      </c>
      <c r="AM229" s="1">
        <f t="shared" si="81"/>
        <v>0</v>
      </c>
    </row>
    <row r="230" spans="1:39" x14ac:dyDescent="0.3">
      <c r="A230" s="12">
        <v>228</v>
      </c>
      <c r="B230" s="12" t="s">
        <v>322</v>
      </c>
      <c r="C230" s="13" t="s">
        <v>579</v>
      </c>
      <c r="D230" s="13" t="s">
        <v>579</v>
      </c>
      <c r="E230" s="14" t="s">
        <v>580</v>
      </c>
      <c r="F230" s="15">
        <v>0</v>
      </c>
      <c r="G230" s="16">
        <f t="shared" si="76"/>
        <v>3</v>
      </c>
      <c r="H230" s="15"/>
      <c r="I230" s="15">
        <f t="shared" si="64"/>
        <v>0</v>
      </c>
      <c r="J230" s="15"/>
      <c r="K230" s="15">
        <f t="shared" si="77"/>
        <v>0</v>
      </c>
      <c r="L230" s="15">
        <v>3</v>
      </c>
      <c r="M230" s="15">
        <f t="shared" si="65"/>
        <v>0</v>
      </c>
      <c r="N230" s="15"/>
      <c r="O230" s="15">
        <f t="shared" si="66"/>
        <v>0</v>
      </c>
      <c r="P230" s="15"/>
      <c r="Q230" s="15">
        <f t="shared" si="67"/>
        <v>0</v>
      </c>
      <c r="R230" s="15"/>
      <c r="S230" s="15">
        <f t="shared" si="68"/>
        <v>0</v>
      </c>
      <c r="T230" s="15"/>
      <c r="U230" s="15">
        <f t="shared" si="69"/>
        <v>0</v>
      </c>
      <c r="V230" s="15">
        <f t="shared" si="59"/>
        <v>0</v>
      </c>
      <c r="W230" s="17"/>
      <c r="X230" s="17"/>
      <c r="Y230" s="18">
        <v>0.20200000000000001</v>
      </c>
      <c r="Z230" s="1">
        <f t="shared" si="70"/>
        <v>0</v>
      </c>
      <c r="AA230" s="21"/>
      <c r="AC230" s="21"/>
      <c r="AE230" s="19"/>
      <c r="AF230" s="20">
        <f>SUMIF('[1]G-Chart'!G:G,[1]Capacity!D230,'[1]G-Chart'!L:L)</f>
        <v>0</v>
      </c>
      <c r="AG230" s="2">
        <f t="shared" si="71"/>
        <v>0</v>
      </c>
      <c r="AH230" s="2">
        <f t="shared" si="72"/>
        <v>0</v>
      </c>
      <c r="AI230" s="2">
        <f t="shared" si="78"/>
        <v>0</v>
      </c>
      <c r="AJ230" s="1">
        <f t="shared" si="73"/>
        <v>0</v>
      </c>
      <c r="AK230" s="1">
        <f t="shared" si="74"/>
        <v>0</v>
      </c>
      <c r="AL230" s="1">
        <f t="shared" si="75"/>
        <v>0</v>
      </c>
      <c r="AM230" s="1">
        <f t="shared" si="81"/>
        <v>0</v>
      </c>
    </row>
    <row r="231" spans="1:39" x14ac:dyDescent="0.3">
      <c r="A231" s="12">
        <v>229</v>
      </c>
      <c r="B231" s="12" t="s">
        <v>322</v>
      </c>
      <c r="C231" s="13" t="s">
        <v>581</v>
      </c>
      <c r="D231" s="13" t="s">
        <v>581</v>
      </c>
      <c r="E231" s="14" t="s">
        <v>582</v>
      </c>
      <c r="F231" s="15">
        <v>0</v>
      </c>
      <c r="G231" s="16">
        <f t="shared" si="76"/>
        <v>2</v>
      </c>
      <c r="H231" s="15"/>
      <c r="I231" s="15">
        <f t="shared" si="64"/>
        <v>0</v>
      </c>
      <c r="J231" s="15"/>
      <c r="K231" s="15">
        <f t="shared" si="77"/>
        <v>0</v>
      </c>
      <c r="L231" s="15">
        <v>2</v>
      </c>
      <c r="M231" s="15">
        <f t="shared" si="65"/>
        <v>0</v>
      </c>
      <c r="N231" s="15"/>
      <c r="O231" s="15">
        <f t="shared" si="66"/>
        <v>0</v>
      </c>
      <c r="P231" s="15"/>
      <c r="Q231" s="15">
        <f t="shared" si="67"/>
        <v>0</v>
      </c>
      <c r="R231" s="15"/>
      <c r="S231" s="15">
        <f t="shared" si="68"/>
        <v>0</v>
      </c>
      <c r="T231" s="15"/>
      <c r="U231" s="15">
        <f t="shared" si="69"/>
        <v>0</v>
      </c>
      <c r="V231" s="15">
        <f t="shared" si="59"/>
        <v>0</v>
      </c>
      <c r="W231" s="17"/>
      <c r="X231" s="17"/>
      <c r="Y231" s="18">
        <v>0.20200000000000001</v>
      </c>
      <c r="Z231" s="1">
        <f t="shared" si="70"/>
        <v>0</v>
      </c>
      <c r="AA231" s="21"/>
      <c r="AC231" s="21"/>
      <c r="AE231" s="19"/>
      <c r="AF231" s="20">
        <f>SUMIF('[1]G-Chart'!G:G,[1]Capacity!D231,'[1]G-Chart'!L:L)</f>
        <v>0</v>
      </c>
      <c r="AG231" s="2">
        <f t="shared" si="71"/>
        <v>0</v>
      </c>
      <c r="AH231" s="2">
        <f t="shared" si="72"/>
        <v>0</v>
      </c>
      <c r="AI231" s="2">
        <f t="shared" si="78"/>
        <v>0</v>
      </c>
      <c r="AJ231" s="1">
        <f t="shared" si="73"/>
        <v>0</v>
      </c>
      <c r="AK231" s="1">
        <f t="shared" si="74"/>
        <v>0</v>
      </c>
      <c r="AL231" s="1">
        <f t="shared" si="75"/>
        <v>0</v>
      </c>
      <c r="AM231" s="1">
        <f t="shared" si="81"/>
        <v>0</v>
      </c>
    </row>
    <row r="232" spans="1:39" x14ac:dyDescent="0.3">
      <c r="A232" s="12">
        <v>230</v>
      </c>
      <c r="B232" s="12" t="s">
        <v>322</v>
      </c>
      <c r="C232" s="13" t="s">
        <v>583</v>
      </c>
      <c r="D232" s="13" t="s">
        <v>583</v>
      </c>
      <c r="E232" s="14" t="s">
        <v>584</v>
      </c>
      <c r="F232" s="15">
        <v>0</v>
      </c>
      <c r="G232" s="16">
        <f t="shared" si="76"/>
        <v>2</v>
      </c>
      <c r="H232" s="15"/>
      <c r="I232" s="15">
        <f t="shared" si="64"/>
        <v>0</v>
      </c>
      <c r="J232" s="15">
        <v>2</v>
      </c>
      <c r="K232" s="15">
        <f t="shared" si="77"/>
        <v>0</v>
      </c>
      <c r="L232" s="15"/>
      <c r="M232" s="15">
        <f t="shared" si="65"/>
        <v>0</v>
      </c>
      <c r="N232" s="15"/>
      <c r="O232" s="15">
        <f t="shared" si="66"/>
        <v>0</v>
      </c>
      <c r="P232" s="15"/>
      <c r="Q232" s="15">
        <f t="shared" si="67"/>
        <v>0</v>
      </c>
      <c r="R232" s="15"/>
      <c r="S232" s="15">
        <f t="shared" si="68"/>
        <v>0</v>
      </c>
      <c r="T232" s="15"/>
      <c r="U232" s="15">
        <f t="shared" si="69"/>
        <v>0</v>
      </c>
      <c r="V232" s="15">
        <f t="shared" si="59"/>
        <v>0</v>
      </c>
      <c r="W232" s="17"/>
      <c r="X232" s="17"/>
      <c r="Y232" s="18"/>
      <c r="Z232" s="1">
        <f t="shared" si="70"/>
        <v>0</v>
      </c>
      <c r="AA232" s="21"/>
      <c r="AC232" s="21"/>
      <c r="AE232" s="19"/>
      <c r="AF232" s="20">
        <f>SUMIF('[1]G-Chart'!G:G,[1]Capacity!D232,'[1]G-Chart'!L:L)</f>
        <v>0</v>
      </c>
      <c r="AG232" s="2">
        <f t="shared" si="71"/>
        <v>0</v>
      </c>
      <c r="AH232" s="2">
        <f t="shared" si="72"/>
        <v>0</v>
      </c>
      <c r="AI232" s="2">
        <f t="shared" si="78"/>
        <v>0</v>
      </c>
      <c r="AJ232" s="1">
        <f t="shared" si="73"/>
        <v>0</v>
      </c>
      <c r="AK232" s="1">
        <f t="shared" si="74"/>
        <v>0</v>
      </c>
      <c r="AL232" s="1">
        <f t="shared" si="75"/>
        <v>0</v>
      </c>
      <c r="AM232" s="1">
        <f t="shared" si="81"/>
        <v>0</v>
      </c>
    </row>
    <row r="233" spans="1:39" x14ac:dyDescent="0.3">
      <c r="A233" s="12">
        <v>231</v>
      </c>
      <c r="B233" s="12" t="s">
        <v>322</v>
      </c>
      <c r="C233" s="13" t="s">
        <v>585</v>
      </c>
      <c r="D233" s="13" t="s">
        <v>586</v>
      </c>
      <c r="E233" s="14" t="s">
        <v>587</v>
      </c>
      <c r="F233" s="15">
        <v>0</v>
      </c>
      <c r="G233" s="16">
        <f t="shared" si="76"/>
        <v>0</v>
      </c>
      <c r="H233" s="15"/>
      <c r="I233" s="15">
        <f t="shared" si="64"/>
        <v>0</v>
      </c>
      <c r="J233" s="15"/>
      <c r="K233" s="15">
        <f t="shared" si="77"/>
        <v>0</v>
      </c>
      <c r="L233" s="15"/>
      <c r="M233" s="15">
        <f t="shared" si="65"/>
        <v>0</v>
      </c>
      <c r="N233" s="15"/>
      <c r="O233" s="15">
        <f t="shared" si="66"/>
        <v>0</v>
      </c>
      <c r="P233" s="15"/>
      <c r="Q233" s="15">
        <f t="shared" si="67"/>
        <v>0</v>
      </c>
      <c r="R233" s="15"/>
      <c r="S233" s="15">
        <f t="shared" si="68"/>
        <v>0</v>
      </c>
      <c r="T233" s="15"/>
      <c r="U233" s="15">
        <f t="shared" si="69"/>
        <v>0</v>
      </c>
      <c r="V233" s="15">
        <f t="shared" si="59"/>
        <v>0</v>
      </c>
      <c r="W233" s="17"/>
      <c r="X233" s="17"/>
      <c r="Y233" s="18"/>
      <c r="Z233" s="1">
        <f t="shared" si="70"/>
        <v>0</v>
      </c>
      <c r="AA233" s="21"/>
      <c r="AC233" s="21"/>
      <c r="AE233" s="19"/>
      <c r="AF233" s="20">
        <f>SUMIF('[1]G-Chart'!G:G,[1]Capacity!D233,'[1]G-Chart'!L:L)</f>
        <v>0</v>
      </c>
      <c r="AG233" s="2">
        <f t="shared" si="71"/>
        <v>0</v>
      </c>
      <c r="AH233" s="2">
        <f t="shared" si="72"/>
        <v>0</v>
      </c>
      <c r="AI233" s="2">
        <f t="shared" si="78"/>
        <v>0</v>
      </c>
      <c r="AJ233" s="1">
        <f t="shared" si="73"/>
        <v>0</v>
      </c>
      <c r="AK233" s="1">
        <f t="shared" si="74"/>
        <v>0</v>
      </c>
      <c r="AL233" s="1">
        <f t="shared" si="75"/>
        <v>0</v>
      </c>
      <c r="AM233" s="1">
        <f t="shared" si="81"/>
        <v>0</v>
      </c>
    </row>
    <row r="234" spans="1:39" x14ac:dyDescent="0.3">
      <c r="A234" s="12">
        <v>232</v>
      </c>
      <c r="B234" s="12" t="s">
        <v>322</v>
      </c>
      <c r="C234" s="13" t="s">
        <v>588</v>
      </c>
      <c r="D234" s="13" t="s">
        <v>588</v>
      </c>
      <c r="E234" s="14" t="s">
        <v>589</v>
      </c>
      <c r="F234" s="15">
        <v>0</v>
      </c>
      <c r="G234" s="16">
        <f t="shared" si="76"/>
        <v>1.5</v>
      </c>
      <c r="H234" s="15"/>
      <c r="I234" s="15">
        <f t="shared" si="64"/>
        <v>0</v>
      </c>
      <c r="J234" s="15">
        <v>1.5</v>
      </c>
      <c r="K234" s="15">
        <f t="shared" si="77"/>
        <v>0</v>
      </c>
      <c r="L234" s="15"/>
      <c r="M234" s="15">
        <f t="shared" si="65"/>
        <v>0</v>
      </c>
      <c r="N234" s="15"/>
      <c r="O234" s="15">
        <f t="shared" si="66"/>
        <v>0</v>
      </c>
      <c r="P234" s="15"/>
      <c r="Q234" s="15">
        <f t="shared" si="67"/>
        <v>0</v>
      </c>
      <c r="R234" s="15"/>
      <c r="S234" s="15">
        <f t="shared" si="68"/>
        <v>0</v>
      </c>
      <c r="T234" s="15"/>
      <c r="U234" s="15">
        <f t="shared" si="69"/>
        <v>0</v>
      </c>
      <c r="V234" s="15">
        <f t="shared" si="59"/>
        <v>0</v>
      </c>
      <c r="W234" s="17"/>
      <c r="X234" s="17"/>
      <c r="Y234" s="18">
        <v>0.33900000000000002</v>
      </c>
      <c r="Z234" s="1">
        <f t="shared" si="70"/>
        <v>0</v>
      </c>
      <c r="AA234" s="21"/>
      <c r="AC234" s="21"/>
      <c r="AE234" s="19"/>
      <c r="AF234" s="20">
        <f>SUMIF('[1]G-Chart'!G:G,[1]Capacity!D234,'[1]G-Chart'!L:L)</f>
        <v>0</v>
      </c>
      <c r="AG234" s="2">
        <f t="shared" si="71"/>
        <v>0</v>
      </c>
      <c r="AH234" s="2">
        <f t="shared" si="72"/>
        <v>0</v>
      </c>
      <c r="AI234" s="2">
        <f t="shared" si="78"/>
        <v>0</v>
      </c>
      <c r="AJ234" s="1">
        <f t="shared" si="73"/>
        <v>0</v>
      </c>
      <c r="AK234" s="1">
        <f t="shared" si="74"/>
        <v>0</v>
      </c>
      <c r="AL234" s="1">
        <f t="shared" si="75"/>
        <v>0</v>
      </c>
      <c r="AM234" s="1">
        <f t="shared" si="81"/>
        <v>0</v>
      </c>
    </row>
    <row r="235" spans="1:39" x14ac:dyDescent="0.3">
      <c r="A235" s="12">
        <v>233</v>
      </c>
      <c r="B235" s="12" t="s">
        <v>322</v>
      </c>
      <c r="C235" s="13" t="s">
        <v>590</v>
      </c>
      <c r="D235" s="13" t="s">
        <v>590</v>
      </c>
      <c r="E235" s="14" t="s">
        <v>591</v>
      </c>
      <c r="F235" s="15">
        <v>0</v>
      </c>
      <c r="G235" s="16">
        <f t="shared" si="76"/>
        <v>1.5</v>
      </c>
      <c r="H235" s="15"/>
      <c r="I235" s="15">
        <f t="shared" si="64"/>
        <v>0</v>
      </c>
      <c r="J235" s="15">
        <v>1.5</v>
      </c>
      <c r="K235" s="15">
        <f t="shared" si="77"/>
        <v>0</v>
      </c>
      <c r="L235" s="15"/>
      <c r="M235" s="15">
        <f t="shared" si="65"/>
        <v>0</v>
      </c>
      <c r="N235" s="15"/>
      <c r="O235" s="15">
        <f t="shared" si="66"/>
        <v>0</v>
      </c>
      <c r="P235" s="15"/>
      <c r="Q235" s="15">
        <f t="shared" si="67"/>
        <v>0</v>
      </c>
      <c r="R235" s="15"/>
      <c r="S235" s="15">
        <f t="shared" si="68"/>
        <v>0</v>
      </c>
      <c r="T235" s="15"/>
      <c r="U235" s="15">
        <f t="shared" si="69"/>
        <v>0</v>
      </c>
      <c r="V235" s="15">
        <f t="shared" si="59"/>
        <v>0</v>
      </c>
      <c r="W235" s="17"/>
      <c r="X235" s="17"/>
      <c r="Y235" s="18">
        <v>0.35699999999999998</v>
      </c>
      <c r="Z235" s="1">
        <f t="shared" si="70"/>
        <v>0</v>
      </c>
      <c r="AA235" s="21"/>
      <c r="AC235" s="21"/>
      <c r="AE235" s="19"/>
      <c r="AF235" s="20">
        <f>SUMIF('[1]G-Chart'!G:G,[1]Capacity!D235,'[1]G-Chart'!L:L)</f>
        <v>0</v>
      </c>
      <c r="AG235" s="2">
        <f t="shared" si="71"/>
        <v>0</v>
      </c>
      <c r="AH235" s="2">
        <f t="shared" si="72"/>
        <v>0</v>
      </c>
      <c r="AI235" s="2">
        <f t="shared" si="78"/>
        <v>0</v>
      </c>
      <c r="AJ235" s="1">
        <f t="shared" si="73"/>
        <v>0</v>
      </c>
      <c r="AK235" s="1">
        <f t="shared" si="74"/>
        <v>0</v>
      </c>
      <c r="AL235" s="1">
        <f t="shared" si="75"/>
        <v>0</v>
      </c>
      <c r="AM235" s="1">
        <f t="shared" si="81"/>
        <v>0</v>
      </c>
    </row>
    <row r="236" spans="1:39" x14ac:dyDescent="0.3">
      <c r="A236" s="12">
        <v>234</v>
      </c>
      <c r="B236" s="12" t="s">
        <v>322</v>
      </c>
      <c r="C236" s="13" t="s">
        <v>592</v>
      </c>
      <c r="D236" s="13" t="s">
        <v>592</v>
      </c>
      <c r="E236" s="14" t="s">
        <v>593</v>
      </c>
      <c r="F236" s="15">
        <v>0</v>
      </c>
      <c r="G236" s="16">
        <f t="shared" si="76"/>
        <v>3</v>
      </c>
      <c r="H236" s="15"/>
      <c r="I236" s="15">
        <f t="shared" si="64"/>
        <v>0</v>
      </c>
      <c r="J236" s="15">
        <v>3</v>
      </c>
      <c r="K236" s="15">
        <f t="shared" si="77"/>
        <v>0</v>
      </c>
      <c r="L236" s="15"/>
      <c r="M236" s="15">
        <f t="shared" si="65"/>
        <v>0</v>
      </c>
      <c r="N236" s="15"/>
      <c r="O236" s="15">
        <f t="shared" si="66"/>
        <v>0</v>
      </c>
      <c r="P236" s="15"/>
      <c r="Q236" s="15">
        <f t="shared" si="67"/>
        <v>0</v>
      </c>
      <c r="R236" s="15"/>
      <c r="S236" s="15">
        <f t="shared" si="68"/>
        <v>0</v>
      </c>
      <c r="T236" s="15"/>
      <c r="U236" s="15">
        <f t="shared" si="69"/>
        <v>0</v>
      </c>
      <c r="V236" s="15">
        <f t="shared" si="59"/>
        <v>0</v>
      </c>
      <c r="W236" s="17"/>
      <c r="X236" s="17"/>
      <c r="Y236" s="18">
        <v>0.45700000000000002</v>
      </c>
      <c r="Z236" s="1">
        <f t="shared" si="70"/>
        <v>0</v>
      </c>
      <c r="AA236" s="21"/>
      <c r="AC236" s="21"/>
      <c r="AE236" s="19"/>
      <c r="AF236" s="20">
        <f>SUMIF('[1]G-Chart'!G:G,[1]Capacity!D236,'[1]G-Chart'!L:L)</f>
        <v>0</v>
      </c>
      <c r="AG236" s="2">
        <f t="shared" si="71"/>
        <v>0</v>
      </c>
      <c r="AH236" s="2">
        <f t="shared" si="72"/>
        <v>0</v>
      </c>
      <c r="AI236" s="2">
        <f t="shared" si="78"/>
        <v>0</v>
      </c>
      <c r="AJ236" s="1">
        <f t="shared" si="73"/>
        <v>0</v>
      </c>
      <c r="AK236" s="1">
        <f t="shared" si="74"/>
        <v>0</v>
      </c>
      <c r="AL236" s="1">
        <f t="shared" si="75"/>
        <v>0</v>
      </c>
      <c r="AM236" s="1">
        <f t="shared" si="81"/>
        <v>0</v>
      </c>
    </row>
    <row r="237" spans="1:39" x14ac:dyDescent="0.3">
      <c r="A237" s="12">
        <v>235</v>
      </c>
      <c r="B237" s="12" t="s">
        <v>322</v>
      </c>
      <c r="C237" s="13" t="s">
        <v>594</v>
      </c>
      <c r="D237" s="13" t="s">
        <v>594</v>
      </c>
      <c r="E237" s="14" t="s">
        <v>595</v>
      </c>
      <c r="F237" s="15">
        <v>0</v>
      </c>
      <c r="G237" s="16">
        <f t="shared" si="76"/>
        <v>1.5</v>
      </c>
      <c r="H237" s="15"/>
      <c r="I237" s="15">
        <f t="shared" si="64"/>
        <v>0</v>
      </c>
      <c r="J237" s="15"/>
      <c r="K237" s="15">
        <f t="shared" si="77"/>
        <v>0</v>
      </c>
      <c r="L237" s="15"/>
      <c r="M237" s="15">
        <f t="shared" si="65"/>
        <v>0</v>
      </c>
      <c r="N237" s="15">
        <v>1.5</v>
      </c>
      <c r="O237" s="15">
        <f t="shared" si="66"/>
        <v>0</v>
      </c>
      <c r="P237" s="15"/>
      <c r="Q237" s="15">
        <f t="shared" si="67"/>
        <v>0</v>
      </c>
      <c r="R237" s="15"/>
      <c r="S237" s="15">
        <f t="shared" si="68"/>
        <v>0</v>
      </c>
      <c r="T237" s="15"/>
      <c r="U237" s="15">
        <f t="shared" si="69"/>
        <v>0</v>
      </c>
      <c r="V237" s="15">
        <f t="shared" si="59"/>
        <v>0</v>
      </c>
      <c r="W237" s="17"/>
      <c r="X237" s="17"/>
      <c r="Y237" s="18">
        <v>4.7E-2</v>
      </c>
      <c r="Z237" s="1">
        <f t="shared" si="70"/>
        <v>0</v>
      </c>
      <c r="AA237" s="21"/>
      <c r="AC237" s="21"/>
      <c r="AE237" s="19"/>
      <c r="AF237" s="20">
        <f>SUMIF('[1]G-Chart'!G:G,[1]Capacity!D237,'[1]G-Chart'!L:L)</f>
        <v>0</v>
      </c>
      <c r="AG237" s="2">
        <f t="shared" si="71"/>
        <v>0</v>
      </c>
      <c r="AH237" s="2">
        <f t="shared" si="72"/>
        <v>0</v>
      </c>
      <c r="AI237" s="2">
        <f t="shared" si="78"/>
        <v>0</v>
      </c>
      <c r="AJ237" s="1">
        <f t="shared" si="73"/>
        <v>0</v>
      </c>
      <c r="AK237" s="1">
        <f t="shared" si="74"/>
        <v>0</v>
      </c>
      <c r="AL237" s="1">
        <f t="shared" si="75"/>
        <v>0</v>
      </c>
      <c r="AM237" s="1">
        <f t="shared" si="81"/>
        <v>0</v>
      </c>
    </row>
    <row r="238" spans="1:39" x14ac:dyDescent="0.3">
      <c r="A238" s="12">
        <v>236</v>
      </c>
      <c r="B238" s="12" t="s">
        <v>322</v>
      </c>
      <c r="C238" s="13" t="s">
        <v>596</v>
      </c>
      <c r="D238" s="13" t="s">
        <v>596</v>
      </c>
      <c r="E238" s="14" t="s">
        <v>597</v>
      </c>
      <c r="F238" s="15">
        <v>0</v>
      </c>
      <c r="G238" s="16">
        <f t="shared" si="76"/>
        <v>1</v>
      </c>
      <c r="H238" s="15"/>
      <c r="I238" s="15">
        <f t="shared" si="64"/>
        <v>0</v>
      </c>
      <c r="J238" s="15">
        <v>1</v>
      </c>
      <c r="K238" s="15">
        <f t="shared" si="77"/>
        <v>0</v>
      </c>
      <c r="L238" s="15"/>
      <c r="M238" s="15">
        <f t="shared" si="65"/>
        <v>0</v>
      </c>
      <c r="N238" s="15"/>
      <c r="O238" s="15">
        <f t="shared" si="66"/>
        <v>0</v>
      </c>
      <c r="P238" s="15"/>
      <c r="Q238" s="15">
        <f t="shared" si="67"/>
        <v>0</v>
      </c>
      <c r="R238" s="15"/>
      <c r="S238" s="15">
        <f t="shared" si="68"/>
        <v>0</v>
      </c>
      <c r="T238" s="15"/>
      <c r="U238" s="15">
        <f t="shared" si="69"/>
        <v>0</v>
      </c>
      <c r="V238" s="15">
        <f t="shared" si="59"/>
        <v>0</v>
      </c>
      <c r="W238" s="17"/>
      <c r="X238" s="17"/>
      <c r="Y238" s="18">
        <v>0.43099999999999999</v>
      </c>
      <c r="Z238" s="1">
        <f t="shared" si="70"/>
        <v>0</v>
      </c>
      <c r="AA238" s="21"/>
      <c r="AC238" s="21"/>
      <c r="AE238" s="19"/>
      <c r="AF238" s="20">
        <f>SUMIF('[1]G-Chart'!G:G,[1]Capacity!D238,'[1]G-Chart'!L:L)</f>
        <v>0</v>
      </c>
      <c r="AG238" s="2">
        <f t="shared" si="71"/>
        <v>0</v>
      </c>
      <c r="AH238" s="2">
        <f t="shared" si="72"/>
        <v>0</v>
      </c>
      <c r="AI238" s="2">
        <f t="shared" si="78"/>
        <v>0</v>
      </c>
      <c r="AJ238" s="1">
        <f t="shared" si="73"/>
        <v>0</v>
      </c>
      <c r="AK238" s="1">
        <f t="shared" si="74"/>
        <v>0</v>
      </c>
      <c r="AL238" s="1">
        <f t="shared" si="75"/>
        <v>0</v>
      </c>
      <c r="AM238" s="1">
        <f t="shared" si="81"/>
        <v>0</v>
      </c>
    </row>
    <row r="239" spans="1:39" x14ac:dyDescent="0.3">
      <c r="A239" s="12">
        <v>237</v>
      </c>
      <c r="B239" s="12" t="s">
        <v>322</v>
      </c>
      <c r="C239" s="13" t="s">
        <v>598</v>
      </c>
      <c r="D239" s="13" t="s">
        <v>598</v>
      </c>
      <c r="E239" s="14" t="s">
        <v>599</v>
      </c>
      <c r="F239" s="15">
        <v>0</v>
      </c>
      <c r="G239" s="16">
        <f t="shared" si="76"/>
        <v>1</v>
      </c>
      <c r="H239" s="15"/>
      <c r="I239" s="15">
        <f t="shared" si="64"/>
        <v>0</v>
      </c>
      <c r="J239" s="15"/>
      <c r="K239" s="15">
        <f t="shared" si="77"/>
        <v>0</v>
      </c>
      <c r="L239" s="15">
        <v>1</v>
      </c>
      <c r="M239" s="15">
        <f t="shared" si="65"/>
        <v>0</v>
      </c>
      <c r="N239" s="15"/>
      <c r="O239" s="15">
        <f t="shared" si="66"/>
        <v>0</v>
      </c>
      <c r="P239" s="15"/>
      <c r="Q239" s="15">
        <f t="shared" si="67"/>
        <v>0</v>
      </c>
      <c r="R239" s="15"/>
      <c r="S239" s="15">
        <f t="shared" si="68"/>
        <v>0</v>
      </c>
      <c r="T239" s="15"/>
      <c r="U239" s="15">
        <f t="shared" si="69"/>
        <v>0</v>
      </c>
      <c r="V239" s="15">
        <f t="shared" si="59"/>
        <v>0</v>
      </c>
      <c r="W239" s="17"/>
      <c r="X239" s="17"/>
      <c r="Y239" s="18">
        <v>0.433</v>
      </c>
      <c r="Z239" s="1">
        <f t="shared" si="70"/>
        <v>0</v>
      </c>
      <c r="AA239" s="21"/>
      <c r="AC239" s="21"/>
      <c r="AE239" s="19"/>
      <c r="AF239" s="20">
        <f>SUMIF('[1]G-Chart'!G:G,[1]Capacity!D239,'[1]G-Chart'!L:L)</f>
        <v>0</v>
      </c>
      <c r="AG239" s="2">
        <f t="shared" si="71"/>
        <v>0</v>
      </c>
      <c r="AH239" s="2">
        <f t="shared" si="72"/>
        <v>0</v>
      </c>
      <c r="AI239" s="2">
        <f t="shared" si="78"/>
        <v>0</v>
      </c>
      <c r="AJ239" s="1">
        <f t="shared" si="73"/>
        <v>0</v>
      </c>
      <c r="AK239" s="1">
        <f t="shared" si="74"/>
        <v>0</v>
      </c>
      <c r="AL239" s="1">
        <f t="shared" si="75"/>
        <v>0</v>
      </c>
      <c r="AM239" s="1">
        <f t="shared" si="81"/>
        <v>0</v>
      </c>
    </row>
    <row r="240" spans="1:39" x14ac:dyDescent="0.3">
      <c r="A240" s="12">
        <v>238</v>
      </c>
      <c r="B240" s="12" t="s">
        <v>322</v>
      </c>
      <c r="C240" s="13" t="s">
        <v>600</v>
      </c>
      <c r="D240" s="13" t="s">
        <v>600</v>
      </c>
      <c r="E240" s="14" t="s">
        <v>601</v>
      </c>
      <c r="F240" s="15">
        <v>0</v>
      </c>
      <c r="G240" s="16">
        <f t="shared" si="76"/>
        <v>2.5</v>
      </c>
      <c r="H240" s="15"/>
      <c r="I240" s="15">
        <f t="shared" si="64"/>
        <v>0</v>
      </c>
      <c r="J240" s="15">
        <v>0.5</v>
      </c>
      <c r="K240" s="15">
        <f t="shared" si="77"/>
        <v>0</v>
      </c>
      <c r="L240" s="15">
        <v>2</v>
      </c>
      <c r="M240" s="15">
        <f t="shared" si="65"/>
        <v>0</v>
      </c>
      <c r="N240" s="15"/>
      <c r="O240" s="15">
        <f t="shared" si="66"/>
        <v>0</v>
      </c>
      <c r="P240" s="15"/>
      <c r="Q240" s="15">
        <f t="shared" si="67"/>
        <v>0</v>
      </c>
      <c r="R240" s="15"/>
      <c r="S240" s="15">
        <f t="shared" si="68"/>
        <v>0</v>
      </c>
      <c r="T240" s="15"/>
      <c r="U240" s="15">
        <f t="shared" si="69"/>
        <v>0</v>
      </c>
      <c r="V240" s="15">
        <f t="shared" si="59"/>
        <v>0</v>
      </c>
      <c r="W240" s="17"/>
      <c r="X240" s="17"/>
      <c r="Y240" s="18">
        <v>0.255</v>
      </c>
      <c r="Z240" s="1">
        <f t="shared" si="70"/>
        <v>0</v>
      </c>
      <c r="AA240" s="21"/>
      <c r="AC240" s="21"/>
      <c r="AE240" s="19"/>
      <c r="AF240" s="20">
        <f>SUMIF('[1]G-Chart'!G:G,[1]Capacity!D240,'[1]G-Chart'!L:L)</f>
        <v>0</v>
      </c>
      <c r="AG240" s="2">
        <f t="shared" si="71"/>
        <v>0</v>
      </c>
      <c r="AH240" s="2">
        <f t="shared" si="72"/>
        <v>0</v>
      </c>
      <c r="AI240" s="2">
        <f t="shared" si="78"/>
        <v>0</v>
      </c>
      <c r="AJ240" s="1">
        <f t="shared" si="73"/>
        <v>0</v>
      </c>
      <c r="AK240" s="1">
        <f t="shared" si="74"/>
        <v>0</v>
      </c>
      <c r="AL240" s="1">
        <f t="shared" si="75"/>
        <v>0</v>
      </c>
      <c r="AM240" s="1">
        <f t="shared" si="81"/>
        <v>0</v>
      </c>
    </row>
    <row r="241" spans="1:39" x14ac:dyDescent="0.3">
      <c r="A241" s="12">
        <v>239</v>
      </c>
      <c r="B241" s="12" t="s">
        <v>322</v>
      </c>
      <c r="C241" s="13" t="s">
        <v>602</v>
      </c>
      <c r="D241" s="13" t="s">
        <v>602</v>
      </c>
      <c r="E241" s="14" t="s">
        <v>603</v>
      </c>
      <c r="F241" s="15">
        <v>0</v>
      </c>
      <c r="G241" s="16">
        <f t="shared" si="76"/>
        <v>3</v>
      </c>
      <c r="H241" s="15"/>
      <c r="I241" s="15">
        <f t="shared" si="64"/>
        <v>0</v>
      </c>
      <c r="J241" s="15">
        <v>3</v>
      </c>
      <c r="K241" s="15">
        <f t="shared" si="77"/>
        <v>0</v>
      </c>
      <c r="L241" s="15"/>
      <c r="M241" s="15">
        <f t="shared" si="65"/>
        <v>0</v>
      </c>
      <c r="N241" s="15"/>
      <c r="O241" s="15">
        <f t="shared" si="66"/>
        <v>0</v>
      </c>
      <c r="P241" s="15"/>
      <c r="Q241" s="15">
        <f t="shared" si="67"/>
        <v>0</v>
      </c>
      <c r="R241" s="15"/>
      <c r="S241" s="15">
        <f t="shared" si="68"/>
        <v>0</v>
      </c>
      <c r="T241" s="15"/>
      <c r="U241" s="15">
        <f t="shared" si="69"/>
        <v>0</v>
      </c>
      <c r="V241" s="15">
        <f t="shared" si="59"/>
        <v>0</v>
      </c>
      <c r="W241" s="17"/>
      <c r="X241" s="17"/>
      <c r="Y241" s="18">
        <v>8.6999999999999994E-2</v>
      </c>
      <c r="Z241" s="1">
        <f t="shared" si="70"/>
        <v>0</v>
      </c>
      <c r="AA241" s="21"/>
      <c r="AC241" s="21"/>
      <c r="AE241" s="19"/>
      <c r="AF241" s="20">
        <f>SUMIF('[1]G-Chart'!G:G,[1]Capacity!D241,'[1]G-Chart'!L:L)</f>
        <v>0</v>
      </c>
      <c r="AG241" s="2">
        <f t="shared" si="71"/>
        <v>0</v>
      </c>
      <c r="AH241" s="2">
        <f t="shared" si="72"/>
        <v>0</v>
      </c>
      <c r="AI241" s="2">
        <f t="shared" si="78"/>
        <v>0</v>
      </c>
      <c r="AJ241" s="1">
        <f t="shared" si="73"/>
        <v>0</v>
      </c>
      <c r="AK241" s="1">
        <f t="shared" si="74"/>
        <v>0</v>
      </c>
      <c r="AL241" s="1">
        <f t="shared" si="75"/>
        <v>0</v>
      </c>
      <c r="AM241" s="1">
        <f t="shared" si="81"/>
        <v>0</v>
      </c>
    </row>
    <row r="242" spans="1:39" x14ac:dyDescent="0.3">
      <c r="A242" s="12">
        <v>240</v>
      </c>
      <c r="B242" s="12" t="s">
        <v>322</v>
      </c>
      <c r="C242" s="13" t="s">
        <v>604</v>
      </c>
      <c r="D242" s="13" t="s">
        <v>604</v>
      </c>
      <c r="E242" s="14" t="s">
        <v>605</v>
      </c>
      <c r="F242" s="15">
        <v>0</v>
      </c>
      <c r="G242" s="16">
        <f t="shared" si="76"/>
        <v>2</v>
      </c>
      <c r="H242" s="15"/>
      <c r="I242" s="15">
        <f t="shared" si="64"/>
        <v>0</v>
      </c>
      <c r="J242" s="15">
        <v>0.5</v>
      </c>
      <c r="K242" s="15">
        <f t="shared" si="77"/>
        <v>0</v>
      </c>
      <c r="L242" s="15">
        <v>1.5</v>
      </c>
      <c r="M242" s="15">
        <f t="shared" si="65"/>
        <v>0</v>
      </c>
      <c r="N242" s="15"/>
      <c r="O242" s="15">
        <f t="shared" si="66"/>
        <v>0</v>
      </c>
      <c r="P242" s="15"/>
      <c r="Q242" s="15">
        <f t="shared" si="67"/>
        <v>0</v>
      </c>
      <c r="R242" s="15"/>
      <c r="S242" s="15">
        <f t="shared" si="68"/>
        <v>0</v>
      </c>
      <c r="T242" s="15"/>
      <c r="U242" s="15">
        <f t="shared" si="69"/>
        <v>0</v>
      </c>
      <c r="V242" s="15">
        <f t="shared" si="59"/>
        <v>0</v>
      </c>
      <c r="W242" s="17"/>
      <c r="X242" s="17"/>
      <c r="Y242" s="18">
        <v>8.8999999999999996E-2</v>
      </c>
      <c r="Z242" s="1">
        <f t="shared" si="70"/>
        <v>0</v>
      </c>
      <c r="AA242" s="21"/>
      <c r="AC242" s="21"/>
      <c r="AE242" s="19"/>
      <c r="AF242" s="20">
        <f>SUMIF('[1]G-Chart'!G:G,[1]Capacity!D242,'[1]G-Chart'!L:L)</f>
        <v>0</v>
      </c>
      <c r="AG242" s="2">
        <f t="shared" si="71"/>
        <v>0</v>
      </c>
      <c r="AH242" s="2">
        <f t="shared" si="72"/>
        <v>0</v>
      </c>
      <c r="AI242" s="2">
        <f t="shared" si="78"/>
        <v>0</v>
      </c>
      <c r="AJ242" s="1">
        <f t="shared" si="73"/>
        <v>0</v>
      </c>
      <c r="AK242" s="1">
        <f t="shared" si="74"/>
        <v>0</v>
      </c>
      <c r="AL242" s="1">
        <f t="shared" si="75"/>
        <v>0</v>
      </c>
      <c r="AM242" s="1">
        <f t="shared" si="81"/>
        <v>0</v>
      </c>
    </row>
    <row r="243" spans="1:39" x14ac:dyDescent="0.3">
      <c r="A243" s="12">
        <v>241</v>
      </c>
      <c r="B243" s="12" t="s">
        <v>26</v>
      </c>
      <c r="C243" s="13" t="s">
        <v>606</v>
      </c>
      <c r="D243" s="13" t="s">
        <v>606</v>
      </c>
      <c r="E243" s="14" t="s">
        <v>607</v>
      </c>
      <c r="F243" s="15">
        <f>AB243</f>
        <v>0</v>
      </c>
      <c r="G243" s="16">
        <f t="shared" si="76"/>
        <v>0</v>
      </c>
      <c r="H243" s="15"/>
      <c r="I243" s="15">
        <f t="shared" si="64"/>
        <v>0</v>
      </c>
      <c r="J243" s="15"/>
      <c r="K243" s="15">
        <f t="shared" si="77"/>
        <v>0</v>
      </c>
      <c r="L243" s="15"/>
      <c r="M243" s="15">
        <f t="shared" si="65"/>
        <v>0</v>
      </c>
      <c r="N243" s="15"/>
      <c r="O243" s="15">
        <f t="shared" si="66"/>
        <v>0</v>
      </c>
      <c r="P243" s="15"/>
      <c r="Q243" s="15">
        <f t="shared" si="67"/>
        <v>0</v>
      </c>
      <c r="R243" s="15"/>
      <c r="S243" s="15">
        <f t="shared" si="68"/>
        <v>0</v>
      </c>
      <c r="T243" s="15"/>
      <c r="U243" s="15">
        <f t="shared" si="69"/>
        <v>0</v>
      </c>
      <c r="V243" s="15">
        <f t="shared" si="59"/>
        <v>0</v>
      </c>
      <c r="W243" s="17"/>
      <c r="X243" s="17"/>
      <c r="Y243" s="18">
        <v>0.84</v>
      </c>
      <c r="Z243" s="1">
        <f t="shared" si="70"/>
        <v>0</v>
      </c>
      <c r="AA243" s="21"/>
      <c r="AB243" s="1">
        <v>0</v>
      </c>
      <c r="AC243" s="21"/>
      <c r="AE243" s="19"/>
      <c r="AF243" s="20">
        <f>SUMIF('[1]G-Chart'!G:G,[1]Capacity!D243,'[1]G-Chart'!L:L)</f>
        <v>0</v>
      </c>
      <c r="AG243" s="2">
        <f t="shared" si="71"/>
        <v>0</v>
      </c>
      <c r="AH243" s="2">
        <f t="shared" si="72"/>
        <v>0</v>
      </c>
      <c r="AI243" s="2">
        <f t="shared" si="78"/>
        <v>0</v>
      </c>
      <c r="AJ243" s="1">
        <f t="shared" si="73"/>
        <v>0</v>
      </c>
      <c r="AK243" s="1">
        <f t="shared" si="74"/>
        <v>0</v>
      </c>
      <c r="AL243" s="1">
        <f t="shared" si="75"/>
        <v>0</v>
      </c>
      <c r="AM243" s="1">
        <f t="shared" si="81"/>
        <v>0</v>
      </c>
    </row>
    <row r="244" spans="1:39" x14ac:dyDescent="0.3">
      <c r="A244" s="12">
        <v>242</v>
      </c>
      <c r="B244" s="12" t="s">
        <v>26</v>
      </c>
      <c r="C244" s="13" t="s">
        <v>608</v>
      </c>
      <c r="D244" s="13" t="s">
        <v>608</v>
      </c>
      <c r="E244" s="14" t="s">
        <v>609</v>
      </c>
      <c r="F244" s="15">
        <v>0</v>
      </c>
      <c r="G244" s="16">
        <f t="shared" si="76"/>
        <v>0</v>
      </c>
      <c r="H244" s="15"/>
      <c r="I244" s="15">
        <f t="shared" si="64"/>
        <v>0</v>
      </c>
      <c r="J244" s="15"/>
      <c r="K244" s="15">
        <f t="shared" si="77"/>
        <v>0</v>
      </c>
      <c r="L244" s="15"/>
      <c r="M244" s="15">
        <f t="shared" si="65"/>
        <v>0</v>
      </c>
      <c r="N244" s="15"/>
      <c r="O244" s="15">
        <f t="shared" si="66"/>
        <v>0</v>
      </c>
      <c r="P244" s="15"/>
      <c r="Q244" s="15">
        <f t="shared" si="67"/>
        <v>0</v>
      </c>
      <c r="R244" s="15"/>
      <c r="S244" s="15">
        <f t="shared" si="68"/>
        <v>0</v>
      </c>
      <c r="T244" s="15"/>
      <c r="U244" s="15">
        <f t="shared" si="69"/>
        <v>0</v>
      </c>
      <c r="V244" s="15">
        <f t="shared" si="59"/>
        <v>0</v>
      </c>
      <c r="W244" s="17"/>
      <c r="X244" s="17"/>
      <c r="Y244" s="18">
        <v>0.77</v>
      </c>
      <c r="Z244" s="1">
        <f t="shared" si="70"/>
        <v>0</v>
      </c>
      <c r="AA244" s="21"/>
      <c r="AC244" s="21"/>
      <c r="AE244" s="19"/>
      <c r="AF244" s="20">
        <f>SUMIF('[1]G-Chart'!G:G,[1]Capacity!D244,'[1]G-Chart'!L:L)</f>
        <v>0</v>
      </c>
      <c r="AG244" s="2">
        <f t="shared" si="71"/>
        <v>0</v>
      </c>
      <c r="AH244" s="2">
        <f t="shared" si="72"/>
        <v>0</v>
      </c>
      <c r="AI244" s="2">
        <f t="shared" si="78"/>
        <v>0</v>
      </c>
      <c r="AJ244" s="1">
        <f t="shared" si="73"/>
        <v>0</v>
      </c>
      <c r="AK244" s="1">
        <f t="shared" si="74"/>
        <v>0</v>
      </c>
      <c r="AL244" s="1">
        <f t="shared" si="75"/>
        <v>0</v>
      </c>
      <c r="AM244" s="1">
        <f t="shared" si="81"/>
        <v>0</v>
      </c>
    </row>
    <row r="245" spans="1:39" x14ac:dyDescent="0.3">
      <c r="A245" s="12">
        <v>243</v>
      </c>
      <c r="B245" s="12" t="s">
        <v>109</v>
      </c>
      <c r="C245" s="13" t="s">
        <v>610</v>
      </c>
      <c r="D245" s="13" t="s">
        <v>611</v>
      </c>
      <c r="E245" s="14" t="s">
        <v>612</v>
      </c>
      <c r="F245" s="15">
        <f>AB245</f>
        <v>0</v>
      </c>
      <c r="G245" s="16">
        <f t="shared" si="76"/>
        <v>4</v>
      </c>
      <c r="H245" s="15"/>
      <c r="I245" s="15">
        <f t="shared" si="64"/>
        <v>0</v>
      </c>
      <c r="J245" s="15"/>
      <c r="K245" s="15">
        <f t="shared" si="77"/>
        <v>0</v>
      </c>
      <c r="L245" s="15"/>
      <c r="M245" s="15">
        <f t="shared" si="65"/>
        <v>0</v>
      </c>
      <c r="N245" s="15">
        <v>3</v>
      </c>
      <c r="O245" s="15">
        <f t="shared" si="66"/>
        <v>0</v>
      </c>
      <c r="P245" s="15">
        <v>1</v>
      </c>
      <c r="Q245" s="15">
        <f t="shared" si="67"/>
        <v>0</v>
      </c>
      <c r="R245" s="15"/>
      <c r="S245" s="15">
        <f t="shared" si="68"/>
        <v>0</v>
      </c>
      <c r="T245" s="15"/>
      <c r="U245" s="15">
        <f t="shared" si="69"/>
        <v>0</v>
      </c>
      <c r="V245" s="15">
        <f t="shared" si="59"/>
        <v>0</v>
      </c>
      <c r="W245" s="17"/>
      <c r="X245" s="17"/>
      <c r="Y245" s="18">
        <v>0.34</v>
      </c>
      <c r="Z245" s="1">
        <f t="shared" si="70"/>
        <v>0</v>
      </c>
      <c r="AA245" s="21"/>
      <c r="AC245" s="21"/>
      <c r="AE245" s="19"/>
      <c r="AF245" s="20">
        <f>SUMIF('[1]G-Chart'!G:G,[1]Capacity!D245,'[1]G-Chart'!L:L)</f>
        <v>-125</v>
      </c>
      <c r="AG245" s="2">
        <f t="shared" si="71"/>
        <v>0</v>
      </c>
      <c r="AH245" s="2">
        <f t="shared" si="72"/>
        <v>0</v>
      </c>
      <c r="AI245" s="2">
        <v>0</v>
      </c>
      <c r="AJ245" s="1">
        <v>0</v>
      </c>
      <c r="AK245" s="1">
        <f t="shared" si="74"/>
        <v>0</v>
      </c>
      <c r="AL245" s="1">
        <f t="shared" si="75"/>
        <v>0</v>
      </c>
      <c r="AM245" s="1">
        <f t="shared" si="81"/>
        <v>-500</v>
      </c>
    </row>
    <row r="246" spans="1:39" x14ac:dyDescent="0.3">
      <c r="A246" s="12">
        <v>244</v>
      </c>
      <c r="B246" s="12" t="s">
        <v>236</v>
      </c>
      <c r="C246" s="13" t="s">
        <v>613</v>
      </c>
      <c r="D246" s="13" t="s">
        <v>613</v>
      </c>
      <c r="E246" s="14" t="s">
        <v>614</v>
      </c>
      <c r="F246" s="15">
        <v>0</v>
      </c>
      <c r="G246" s="16">
        <f t="shared" si="76"/>
        <v>1</v>
      </c>
      <c r="H246" s="15"/>
      <c r="I246" s="15">
        <f t="shared" si="64"/>
        <v>0</v>
      </c>
      <c r="J246" s="15"/>
      <c r="K246" s="15">
        <f t="shared" si="77"/>
        <v>0</v>
      </c>
      <c r="L246" s="15"/>
      <c r="M246" s="15">
        <f t="shared" si="65"/>
        <v>0</v>
      </c>
      <c r="N246" s="15"/>
      <c r="O246" s="15">
        <f t="shared" si="66"/>
        <v>0</v>
      </c>
      <c r="P246" s="15">
        <v>1</v>
      </c>
      <c r="Q246" s="15">
        <f t="shared" si="67"/>
        <v>0</v>
      </c>
      <c r="R246" s="15"/>
      <c r="S246" s="15">
        <f t="shared" si="68"/>
        <v>0</v>
      </c>
      <c r="T246" s="15"/>
      <c r="U246" s="15">
        <f t="shared" si="69"/>
        <v>0</v>
      </c>
      <c r="V246" s="15">
        <f t="shared" ref="V246:V309" si="82">F246*G246</f>
        <v>0</v>
      </c>
      <c r="W246" s="17"/>
      <c r="X246" s="17"/>
      <c r="Y246" s="18">
        <v>5.8000000000000003E-2</v>
      </c>
      <c r="Z246" s="1">
        <f t="shared" si="70"/>
        <v>0</v>
      </c>
      <c r="AA246" s="21"/>
      <c r="AC246" s="21"/>
      <c r="AE246" s="19"/>
      <c r="AF246" s="20">
        <f>SUMIF('[1]G-Chart'!G:G,[1]Capacity!D246,'[1]G-Chart'!L:L)</f>
        <v>0</v>
      </c>
      <c r="AG246" s="2">
        <f t="shared" si="71"/>
        <v>0</v>
      </c>
      <c r="AH246" s="2">
        <f t="shared" si="72"/>
        <v>0</v>
      </c>
      <c r="AI246" s="2">
        <f t="shared" si="78"/>
        <v>0</v>
      </c>
      <c r="AJ246" s="1">
        <f t="shared" si="73"/>
        <v>0</v>
      </c>
      <c r="AK246" s="1">
        <f t="shared" si="74"/>
        <v>0</v>
      </c>
      <c r="AL246" s="1">
        <f t="shared" si="75"/>
        <v>0</v>
      </c>
      <c r="AM246" s="1">
        <f t="shared" si="81"/>
        <v>0</v>
      </c>
    </row>
    <row r="247" spans="1:39" x14ac:dyDescent="0.3">
      <c r="A247" s="12">
        <v>245</v>
      </c>
      <c r="B247" s="12" t="s">
        <v>236</v>
      </c>
      <c r="C247" s="13" t="s">
        <v>615</v>
      </c>
      <c r="D247" s="13" t="s">
        <v>615</v>
      </c>
      <c r="E247" s="14" t="s">
        <v>616</v>
      </c>
      <c r="F247" s="15">
        <v>0</v>
      </c>
      <c r="G247" s="16">
        <f t="shared" si="76"/>
        <v>3</v>
      </c>
      <c r="H247" s="15"/>
      <c r="I247" s="15">
        <f t="shared" si="64"/>
        <v>0</v>
      </c>
      <c r="J247" s="15"/>
      <c r="K247" s="15">
        <f t="shared" si="77"/>
        <v>0</v>
      </c>
      <c r="L247" s="15"/>
      <c r="M247" s="15">
        <f t="shared" si="65"/>
        <v>0</v>
      </c>
      <c r="N247" s="15"/>
      <c r="O247" s="15">
        <f t="shared" si="66"/>
        <v>0</v>
      </c>
      <c r="P247" s="15"/>
      <c r="Q247" s="15">
        <f t="shared" si="67"/>
        <v>0</v>
      </c>
      <c r="R247" s="15"/>
      <c r="S247" s="15">
        <f t="shared" si="68"/>
        <v>0</v>
      </c>
      <c r="T247" s="15">
        <v>3</v>
      </c>
      <c r="U247" s="15">
        <f t="shared" si="69"/>
        <v>0</v>
      </c>
      <c r="V247" s="15">
        <f t="shared" si="82"/>
        <v>0</v>
      </c>
      <c r="W247" s="17"/>
      <c r="X247" s="17"/>
      <c r="Y247" s="18">
        <v>2.9000000000000001E-2</v>
      </c>
      <c r="Z247" s="1">
        <f t="shared" si="70"/>
        <v>0</v>
      </c>
      <c r="AA247" s="21"/>
      <c r="AC247" s="21"/>
      <c r="AE247" s="19"/>
      <c r="AF247" s="20">
        <f>SUMIF('[1]G-Chart'!G:G,[1]Capacity!D247,'[1]G-Chart'!L:L)</f>
        <v>0</v>
      </c>
      <c r="AG247" s="2">
        <f t="shared" si="71"/>
        <v>0</v>
      </c>
      <c r="AH247" s="2">
        <f t="shared" si="72"/>
        <v>0</v>
      </c>
      <c r="AI247" s="2">
        <f t="shared" si="78"/>
        <v>0</v>
      </c>
      <c r="AJ247" s="1">
        <f t="shared" si="73"/>
        <v>0</v>
      </c>
      <c r="AK247" s="1">
        <f t="shared" si="74"/>
        <v>0</v>
      </c>
      <c r="AL247" s="1">
        <f t="shared" si="75"/>
        <v>0</v>
      </c>
      <c r="AM247" s="1">
        <f t="shared" si="81"/>
        <v>0</v>
      </c>
    </row>
    <row r="248" spans="1:39" x14ac:dyDescent="0.3">
      <c r="A248" s="12">
        <v>246</v>
      </c>
      <c r="B248" s="12" t="s">
        <v>236</v>
      </c>
      <c r="C248" s="13" t="s">
        <v>617</v>
      </c>
      <c r="D248" s="13" t="s">
        <v>617</v>
      </c>
      <c r="E248" s="14" t="s">
        <v>618</v>
      </c>
      <c r="F248" s="15">
        <v>0</v>
      </c>
      <c r="G248" s="16">
        <f t="shared" si="76"/>
        <v>2</v>
      </c>
      <c r="H248" s="15"/>
      <c r="I248" s="15">
        <f t="shared" si="64"/>
        <v>0</v>
      </c>
      <c r="J248" s="15"/>
      <c r="K248" s="15">
        <f t="shared" si="77"/>
        <v>0</v>
      </c>
      <c r="L248" s="15"/>
      <c r="M248" s="15">
        <f t="shared" si="65"/>
        <v>0</v>
      </c>
      <c r="N248" s="15"/>
      <c r="O248" s="15">
        <f t="shared" si="66"/>
        <v>0</v>
      </c>
      <c r="P248" s="15"/>
      <c r="Q248" s="15">
        <f t="shared" si="67"/>
        <v>0</v>
      </c>
      <c r="R248" s="15"/>
      <c r="S248" s="15">
        <f t="shared" si="68"/>
        <v>0</v>
      </c>
      <c r="T248" s="15">
        <v>2</v>
      </c>
      <c r="U248" s="15">
        <f t="shared" si="69"/>
        <v>0</v>
      </c>
      <c r="V248" s="15">
        <f t="shared" si="82"/>
        <v>0</v>
      </c>
      <c r="W248" s="17"/>
      <c r="X248" s="17"/>
      <c r="Y248" s="18">
        <v>2.8000000000000001E-2</v>
      </c>
      <c r="Z248" s="1">
        <f t="shared" si="70"/>
        <v>0</v>
      </c>
      <c r="AA248" s="21"/>
      <c r="AC248" s="21"/>
      <c r="AE248" s="19"/>
      <c r="AF248" s="20">
        <f>SUMIF('[1]G-Chart'!G:G,[1]Capacity!D248,'[1]G-Chart'!L:L)</f>
        <v>0</v>
      </c>
      <c r="AG248" s="2">
        <f t="shared" si="71"/>
        <v>0</v>
      </c>
      <c r="AH248" s="2">
        <f t="shared" si="72"/>
        <v>0</v>
      </c>
      <c r="AI248" s="2">
        <f t="shared" si="78"/>
        <v>0</v>
      </c>
      <c r="AJ248" s="1">
        <f t="shared" si="73"/>
        <v>0</v>
      </c>
      <c r="AK248" s="1">
        <f t="shared" si="74"/>
        <v>0</v>
      </c>
      <c r="AL248" s="1">
        <f t="shared" si="75"/>
        <v>0</v>
      </c>
      <c r="AM248" s="1">
        <f t="shared" si="81"/>
        <v>0</v>
      </c>
    </row>
    <row r="249" spans="1:39" x14ac:dyDescent="0.3">
      <c r="A249" s="12">
        <v>247</v>
      </c>
      <c r="B249" s="12" t="s">
        <v>236</v>
      </c>
      <c r="C249" s="13" t="s">
        <v>619</v>
      </c>
      <c r="D249" s="13" t="s">
        <v>619</v>
      </c>
      <c r="E249" s="14" t="s">
        <v>614</v>
      </c>
      <c r="F249" s="15">
        <v>0</v>
      </c>
      <c r="G249" s="16">
        <f t="shared" si="76"/>
        <v>1</v>
      </c>
      <c r="H249" s="15"/>
      <c r="I249" s="15">
        <f t="shared" si="64"/>
        <v>0</v>
      </c>
      <c r="J249" s="15"/>
      <c r="K249" s="15">
        <f t="shared" si="77"/>
        <v>0</v>
      </c>
      <c r="L249" s="15"/>
      <c r="M249" s="15">
        <f t="shared" si="65"/>
        <v>0</v>
      </c>
      <c r="N249" s="15"/>
      <c r="O249" s="15">
        <f t="shared" si="66"/>
        <v>0</v>
      </c>
      <c r="P249" s="15"/>
      <c r="Q249" s="15">
        <f t="shared" si="67"/>
        <v>0</v>
      </c>
      <c r="R249" s="15"/>
      <c r="S249" s="15">
        <f t="shared" si="68"/>
        <v>0</v>
      </c>
      <c r="T249" s="15">
        <v>1</v>
      </c>
      <c r="U249" s="15">
        <f t="shared" si="69"/>
        <v>0</v>
      </c>
      <c r="V249" s="15">
        <f t="shared" si="82"/>
        <v>0</v>
      </c>
      <c r="W249" s="17"/>
      <c r="X249" s="17"/>
      <c r="Y249" s="18">
        <v>2.5999999999999999E-2</v>
      </c>
      <c r="Z249" s="1">
        <f t="shared" si="70"/>
        <v>0</v>
      </c>
      <c r="AA249" s="21"/>
      <c r="AC249" s="21"/>
      <c r="AE249" s="19"/>
      <c r="AF249" s="20">
        <f>SUMIF('[1]G-Chart'!G:G,[1]Capacity!D249,'[1]G-Chart'!L:L)</f>
        <v>0</v>
      </c>
      <c r="AG249" s="2">
        <f t="shared" si="71"/>
        <v>0</v>
      </c>
      <c r="AH249" s="2">
        <f t="shared" si="72"/>
        <v>0</v>
      </c>
      <c r="AI249" s="2">
        <f t="shared" si="78"/>
        <v>0</v>
      </c>
      <c r="AJ249" s="1">
        <f t="shared" si="73"/>
        <v>0</v>
      </c>
      <c r="AK249" s="1">
        <f t="shared" si="74"/>
        <v>0</v>
      </c>
      <c r="AL249" s="1">
        <f t="shared" si="75"/>
        <v>0</v>
      </c>
      <c r="AM249" s="1">
        <f t="shared" si="81"/>
        <v>0</v>
      </c>
    </row>
    <row r="250" spans="1:39" x14ac:dyDescent="0.3">
      <c r="A250" s="12">
        <v>248</v>
      </c>
      <c r="B250" s="12" t="s">
        <v>445</v>
      </c>
      <c r="C250" s="13" t="s">
        <v>620</v>
      </c>
      <c r="D250" s="13" t="s">
        <v>620</v>
      </c>
      <c r="E250" s="14"/>
      <c r="F250" s="15">
        <f>AB250</f>
        <v>0</v>
      </c>
      <c r="G250" s="16">
        <f t="shared" si="76"/>
        <v>0</v>
      </c>
      <c r="H250" s="15"/>
      <c r="I250" s="15">
        <f t="shared" si="64"/>
        <v>0</v>
      </c>
      <c r="J250" s="15"/>
      <c r="K250" s="15">
        <f t="shared" si="77"/>
        <v>0</v>
      </c>
      <c r="L250" s="15"/>
      <c r="M250" s="15">
        <f t="shared" si="65"/>
        <v>0</v>
      </c>
      <c r="N250" s="15"/>
      <c r="O250" s="15">
        <f t="shared" si="66"/>
        <v>0</v>
      </c>
      <c r="P250" s="15"/>
      <c r="Q250" s="15">
        <f t="shared" si="67"/>
        <v>0</v>
      </c>
      <c r="R250" s="15"/>
      <c r="S250" s="15">
        <f t="shared" si="68"/>
        <v>0</v>
      </c>
      <c r="T250" s="15"/>
      <c r="U250" s="15">
        <f t="shared" si="69"/>
        <v>0</v>
      </c>
      <c r="V250" s="15">
        <f t="shared" si="82"/>
        <v>0</v>
      </c>
      <c r="W250" s="17"/>
      <c r="X250" s="17"/>
      <c r="Y250" s="18"/>
      <c r="Z250" s="1">
        <f t="shared" si="70"/>
        <v>0</v>
      </c>
      <c r="AA250" s="21"/>
      <c r="AB250" s="1">
        <f>AD250*AA250</f>
        <v>0</v>
      </c>
      <c r="AC250" s="21"/>
      <c r="AE250" s="19"/>
      <c r="AF250" s="20">
        <f>SUMIF('[1]G-Chart'!G:G,[1]Capacity!D250,'[1]G-Chart'!L:L)</f>
        <v>0</v>
      </c>
      <c r="AG250" s="2">
        <f t="shared" si="71"/>
        <v>0</v>
      </c>
      <c r="AH250" s="2">
        <f t="shared" si="72"/>
        <v>0</v>
      </c>
      <c r="AI250" s="2">
        <f t="shared" si="78"/>
        <v>0</v>
      </c>
      <c r="AJ250" s="1">
        <f t="shared" si="73"/>
        <v>0</v>
      </c>
      <c r="AK250" s="1">
        <f t="shared" si="74"/>
        <v>0</v>
      </c>
      <c r="AL250" s="1">
        <f t="shared" si="75"/>
        <v>0</v>
      </c>
      <c r="AM250" s="1">
        <f t="shared" si="81"/>
        <v>0</v>
      </c>
    </row>
    <row r="251" spans="1:39" x14ac:dyDescent="0.3">
      <c r="A251" s="12">
        <v>249</v>
      </c>
      <c r="B251" s="12" t="s">
        <v>445</v>
      </c>
      <c r="C251" s="13" t="s">
        <v>621</v>
      </c>
      <c r="D251" s="13" t="s">
        <v>621</v>
      </c>
      <c r="E251" s="14"/>
      <c r="F251" s="15">
        <f>AB251</f>
        <v>0</v>
      </c>
      <c r="G251" s="16">
        <f t="shared" si="76"/>
        <v>0</v>
      </c>
      <c r="H251" s="15"/>
      <c r="I251" s="15">
        <f t="shared" si="64"/>
        <v>0</v>
      </c>
      <c r="J251" s="15"/>
      <c r="K251" s="15">
        <f t="shared" si="77"/>
        <v>0</v>
      </c>
      <c r="L251" s="15"/>
      <c r="M251" s="15">
        <f t="shared" si="65"/>
        <v>0</v>
      </c>
      <c r="N251" s="15"/>
      <c r="O251" s="15">
        <f t="shared" si="66"/>
        <v>0</v>
      </c>
      <c r="P251" s="15"/>
      <c r="Q251" s="15">
        <f t="shared" si="67"/>
        <v>0</v>
      </c>
      <c r="R251" s="15"/>
      <c r="S251" s="15">
        <f t="shared" si="68"/>
        <v>0</v>
      </c>
      <c r="T251" s="15"/>
      <c r="U251" s="15">
        <f t="shared" si="69"/>
        <v>0</v>
      </c>
      <c r="V251" s="15">
        <f t="shared" si="82"/>
        <v>0</v>
      </c>
      <c r="W251" s="17"/>
      <c r="X251" s="17"/>
      <c r="Y251" s="18">
        <v>1.6E-2</v>
      </c>
      <c r="Z251" s="1">
        <f t="shared" si="70"/>
        <v>0</v>
      </c>
      <c r="AA251" s="21"/>
      <c r="AB251" s="1">
        <f>AD251*AA251</f>
        <v>0</v>
      </c>
      <c r="AC251" s="21"/>
      <c r="AE251" s="19"/>
      <c r="AF251" s="20">
        <f>SUMIF('[1]G-Chart'!G:G,[1]Capacity!D251,'[1]G-Chart'!L:L)</f>
        <v>0</v>
      </c>
      <c r="AG251" s="2">
        <f t="shared" si="71"/>
        <v>0</v>
      </c>
      <c r="AH251" s="2">
        <f t="shared" si="72"/>
        <v>0</v>
      </c>
      <c r="AI251" s="2">
        <f t="shared" si="78"/>
        <v>0</v>
      </c>
      <c r="AJ251" s="1">
        <f t="shared" si="73"/>
        <v>0</v>
      </c>
      <c r="AK251" s="1">
        <f t="shared" si="74"/>
        <v>0</v>
      </c>
      <c r="AL251" s="1">
        <f t="shared" si="75"/>
        <v>0</v>
      </c>
      <c r="AM251" s="1">
        <f t="shared" si="81"/>
        <v>0</v>
      </c>
    </row>
    <row r="252" spans="1:39" x14ac:dyDescent="0.3">
      <c r="A252" s="12">
        <v>250</v>
      </c>
      <c r="B252" s="12" t="s">
        <v>259</v>
      </c>
      <c r="C252" s="13" t="s">
        <v>622</v>
      </c>
      <c r="D252" s="50" t="s">
        <v>623</v>
      </c>
      <c r="E252" s="14"/>
      <c r="F252" s="15">
        <v>0</v>
      </c>
      <c r="G252" s="16">
        <f t="shared" si="76"/>
        <v>0</v>
      </c>
      <c r="H252" s="15"/>
      <c r="I252" s="15">
        <f t="shared" si="64"/>
        <v>0</v>
      </c>
      <c r="J252" s="15"/>
      <c r="K252" s="15">
        <f t="shared" si="77"/>
        <v>0</v>
      </c>
      <c r="L252" s="15"/>
      <c r="M252" s="15">
        <f t="shared" si="65"/>
        <v>0</v>
      </c>
      <c r="N252" s="15"/>
      <c r="O252" s="15">
        <f t="shared" si="66"/>
        <v>0</v>
      </c>
      <c r="P252" s="15"/>
      <c r="Q252" s="15">
        <f t="shared" si="67"/>
        <v>0</v>
      </c>
      <c r="R252" s="15"/>
      <c r="S252" s="15">
        <f t="shared" si="68"/>
        <v>0</v>
      </c>
      <c r="T252" s="15"/>
      <c r="U252" s="15">
        <f t="shared" si="69"/>
        <v>0</v>
      </c>
      <c r="V252" s="15">
        <f t="shared" si="82"/>
        <v>0</v>
      </c>
      <c r="W252" s="17"/>
      <c r="X252" s="17"/>
      <c r="Y252" s="18">
        <v>0.12</v>
      </c>
      <c r="Z252" s="1">
        <f t="shared" si="70"/>
        <v>0</v>
      </c>
      <c r="AA252" s="21"/>
      <c r="AC252" s="21"/>
      <c r="AE252" s="19"/>
      <c r="AF252" s="20">
        <f>SUMIF('[1]G-Chart'!G:G,[1]Capacity!D252,'[1]G-Chart'!L:L)</f>
        <v>3</v>
      </c>
      <c r="AG252" s="2">
        <f t="shared" si="71"/>
        <v>0</v>
      </c>
      <c r="AH252" s="2">
        <f t="shared" si="72"/>
        <v>0</v>
      </c>
      <c r="AI252" s="2">
        <f t="shared" si="78"/>
        <v>0</v>
      </c>
      <c r="AJ252" s="1">
        <f t="shared" si="73"/>
        <v>0</v>
      </c>
      <c r="AK252" s="1">
        <f t="shared" si="74"/>
        <v>0</v>
      </c>
      <c r="AL252" s="1">
        <f t="shared" si="75"/>
        <v>0</v>
      </c>
      <c r="AM252" s="1">
        <f t="shared" si="81"/>
        <v>0</v>
      </c>
    </row>
    <row r="253" spans="1:39" x14ac:dyDescent="0.3">
      <c r="A253" s="12">
        <v>251</v>
      </c>
      <c r="B253" s="12" t="s">
        <v>259</v>
      </c>
      <c r="C253" s="13" t="s">
        <v>624</v>
      </c>
      <c r="D253" s="13" t="s">
        <v>625</v>
      </c>
      <c r="E253" s="14"/>
      <c r="F253" s="15">
        <v>0</v>
      </c>
      <c r="G253" s="16">
        <f t="shared" si="76"/>
        <v>0</v>
      </c>
      <c r="H253" s="15"/>
      <c r="I253" s="15">
        <f t="shared" si="64"/>
        <v>0</v>
      </c>
      <c r="J253" s="15"/>
      <c r="K253" s="15">
        <f t="shared" si="77"/>
        <v>0</v>
      </c>
      <c r="L253" s="15"/>
      <c r="M253" s="15">
        <f t="shared" si="65"/>
        <v>0</v>
      </c>
      <c r="N253" s="15"/>
      <c r="O253" s="15">
        <f t="shared" si="66"/>
        <v>0</v>
      </c>
      <c r="P253" s="15"/>
      <c r="Q253" s="15">
        <f t="shared" si="67"/>
        <v>0</v>
      </c>
      <c r="R253" s="15"/>
      <c r="S253" s="15">
        <f t="shared" si="68"/>
        <v>0</v>
      </c>
      <c r="T253" s="15"/>
      <c r="U253" s="15">
        <f t="shared" si="69"/>
        <v>0</v>
      </c>
      <c r="V253" s="15">
        <f t="shared" si="82"/>
        <v>0</v>
      </c>
      <c r="W253" s="17"/>
      <c r="X253" s="17"/>
      <c r="Y253" s="18">
        <v>0.12</v>
      </c>
      <c r="Z253" s="1">
        <f t="shared" si="70"/>
        <v>0</v>
      </c>
      <c r="AA253" s="21"/>
      <c r="AC253" s="21"/>
      <c r="AE253" s="19"/>
      <c r="AF253" s="20">
        <f>SUMIF('[1]G-Chart'!G:G,[1]Capacity!D253,'[1]G-Chart'!L:L)</f>
        <v>0</v>
      </c>
      <c r="AG253" s="2">
        <f t="shared" si="71"/>
        <v>0</v>
      </c>
      <c r="AH253" s="2">
        <f t="shared" si="72"/>
        <v>0</v>
      </c>
      <c r="AI253" s="2">
        <f t="shared" si="78"/>
        <v>0</v>
      </c>
      <c r="AJ253" s="1">
        <f t="shared" si="73"/>
        <v>0</v>
      </c>
      <c r="AK253" s="1">
        <f t="shared" si="74"/>
        <v>0</v>
      </c>
      <c r="AL253" s="1">
        <f t="shared" si="75"/>
        <v>0</v>
      </c>
      <c r="AM253" s="1">
        <f t="shared" si="81"/>
        <v>0</v>
      </c>
    </row>
    <row r="254" spans="1:39" x14ac:dyDescent="0.3">
      <c r="A254" s="12">
        <v>252</v>
      </c>
      <c r="B254" s="12" t="s">
        <v>259</v>
      </c>
      <c r="C254" s="13" t="s">
        <v>626</v>
      </c>
      <c r="D254" s="13" t="s">
        <v>627</v>
      </c>
      <c r="E254" s="14" t="s">
        <v>628</v>
      </c>
      <c r="F254" s="15">
        <v>0</v>
      </c>
      <c r="G254" s="16">
        <f t="shared" si="76"/>
        <v>0</v>
      </c>
      <c r="H254" s="15"/>
      <c r="I254" s="15">
        <f t="shared" si="64"/>
        <v>0</v>
      </c>
      <c r="J254" s="15"/>
      <c r="K254" s="15">
        <f t="shared" si="77"/>
        <v>0</v>
      </c>
      <c r="L254" s="15"/>
      <c r="M254" s="15">
        <f t="shared" si="65"/>
        <v>0</v>
      </c>
      <c r="N254" s="15"/>
      <c r="O254" s="15">
        <f t="shared" si="66"/>
        <v>0</v>
      </c>
      <c r="P254" s="15"/>
      <c r="Q254" s="15">
        <f t="shared" si="67"/>
        <v>0</v>
      </c>
      <c r="R254" s="15"/>
      <c r="S254" s="15">
        <f t="shared" si="68"/>
        <v>0</v>
      </c>
      <c r="T254" s="15"/>
      <c r="U254" s="15">
        <f t="shared" si="69"/>
        <v>0</v>
      </c>
      <c r="V254" s="15">
        <f t="shared" si="82"/>
        <v>0</v>
      </c>
      <c r="W254" s="17"/>
      <c r="X254" s="17"/>
      <c r="Y254" s="18">
        <v>0.122</v>
      </c>
      <c r="Z254" s="1">
        <f t="shared" si="70"/>
        <v>0</v>
      </c>
      <c r="AA254" s="21"/>
      <c r="AC254" s="21"/>
      <c r="AE254" s="19"/>
      <c r="AF254" s="20">
        <f>SUMIF('[1]G-Chart'!G:G,[1]Capacity!D254,'[1]G-Chart'!L:L)</f>
        <v>2</v>
      </c>
      <c r="AG254" s="2">
        <f t="shared" si="71"/>
        <v>0</v>
      </c>
      <c r="AH254" s="2">
        <f t="shared" si="72"/>
        <v>0</v>
      </c>
      <c r="AI254" s="2">
        <f t="shared" si="78"/>
        <v>0</v>
      </c>
      <c r="AJ254" s="1">
        <f t="shared" si="73"/>
        <v>0</v>
      </c>
      <c r="AK254" s="1">
        <f t="shared" si="74"/>
        <v>0</v>
      </c>
      <c r="AL254" s="1">
        <f t="shared" si="75"/>
        <v>0</v>
      </c>
      <c r="AM254" s="1">
        <f t="shared" si="81"/>
        <v>0</v>
      </c>
    </row>
    <row r="255" spans="1:39" x14ac:dyDescent="0.3">
      <c r="A255" s="12">
        <v>253</v>
      </c>
      <c r="B255" s="12" t="s">
        <v>236</v>
      </c>
      <c r="C255" s="13" t="s">
        <v>629</v>
      </c>
      <c r="D255" s="13" t="s">
        <v>629</v>
      </c>
      <c r="E255" s="14"/>
      <c r="F255" s="15">
        <v>0</v>
      </c>
      <c r="G255" s="16">
        <f t="shared" si="76"/>
        <v>0</v>
      </c>
      <c r="H255" s="15"/>
      <c r="I255" s="15">
        <f t="shared" si="64"/>
        <v>0</v>
      </c>
      <c r="J255" s="15"/>
      <c r="K255" s="15">
        <f t="shared" si="77"/>
        <v>0</v>
      </c>
      <c r="L255" s="15"/>
      <c r="M255" s="15">
        <f t="shared" si="65"/>
        <v>0</v>
      </c>
      <c r="N255" s="15"/>
      <c r="O255" s="15">
        <f t="shared" si="66"/>
        <v>0</v>
      </c>
      <c r="P255" s="15"/>
      <c r="Q255" s="15">
        <f t="shared" si="67"/>
        <v>0</v>
      </c>
      <c r="R255" s="15"/>
      <c r="S255" s="15">
        <f t="shared" si="68"/>
        <v>0</v>
      </c>
      <c r="T255" s="15"/>
      <c r="U255" s="15">
        <f t="shared" si="69"/>
        <v>0</v>
      </c>
      <c r="V255" s="15">
        <f t="shared" si="82"/>
        <v>0</v>
      </c>
      <c r="W255" s="17"/>
      <c r="X255" s="17"/>
      <c r="Y255" s="18">
        <v>0.81100000000000005</v>
      </c>
      <c r="Z255" s="1">
        <f t="shared" si="70"/>
        <v>0</v>
      </c>
      <c r="AA255" s="21"/>
      <c r="AC255" s="21"/>
      <c r="AE255" s="19"/>
      <c r="AF255" s="20">
        <f>SUMIF('[1]G-Chart'!G:G,[1]Capacity!D255,'[1]G-Chart'!L:L)</f>
        <v>0</v>
      </c>
      <c r="AG255" s="2">
        <f t="shared" si="71"/>
        <v>0</v>
      </c>
      <c r="AH255" s="2">
        <f t="shared" si="72"/>
        <v>0</v>
      </c>
      <c r="AI255" s="2">
        <f t="shared" si="78"/>
        <v>0</v>
      </c>
      <c r="AJ255" s="1">
        <f t="shared" si="73"/>
        <v>0</v>
      </c>
      <c r="AK255" s="1">
        <f t="shared" si="74"/>
        <v>0</v>
      </c>
      <c r="AL255" s="1">
        <f t="shared" si="75"/>
        <v>0</v>
      </c>
      <c r="AM255" s="1">
        <f t="shared" si="81"/>
        <v>0</v>
      </c>
    </row>
    <row r="256" spans="1:39" x14ac:dyDescent="0.3">
      <c r="A256" s="12">
        <v>254</v>
      </c>
      <c r="B256" s="12" t="s">
        <v>236</v>
      </c>
      <c r="C256" s="13" t="s">
        <v>630</v>
      </c>
      <c r="D256" s="13" t="s">
        <v>630</v>
      </c>
      <c r="E256" s="14"/>
      <c r="F256" s="15">
        <v>0</v>
      </c>
      <c r="G256" s="16">
        <f t="shared" si="76"/>
        <v>0</v>
      </c>
      <c r="H256" s="15"/>
      <c r="I256" s="15">
        <f t="shared" si="64"/>
        <v>0</v>
      </c>
      <c r="J256" s="15"/>
      <c r="K256" s="15">
        <f t="shared" si="77"/>
        <v>0</v>
      </c>
      <c r="L256" s="15"/>
      <c r="M256" s="15">
        <f t="shared" si="65"/>
        <v>0</v>
      </c>
      <c r="N256" s="15"/>
      <c r="O256" s="15">
        <f t="shared" si="66"/>
        <v>0</v>
      </c>
      <c r="P256" s="15"/>
      <c r="Q256" s="15">
        <f t="shared" si="67"/>
        <v>0</v>
      </c>
      <c r="R256" s="15"/>
      <c r="S256" s="15">
        <f t="shared" si="68"/>
        <v>0</v>
      </c>
      <c r="T256" s="15"/>
      <c r="U256" s="15">
        <f t="shared" si="69"/>
        <v>0</v>
      </c>
      <c r="V256" s="15">
        <f t="shared" si="82"/>
        <v>0</v>
      </c>
      <c r="W256" s="17"/>
      <c r="X256" s="17"/>
      <c r="Y256" s="18">
        <v>0.44400000000000001</v>
      </c>
      <c r="Z256" s="1">
        <f t="shared" si="70"/>
        <v>0</v>
      </c>
      <c r="AA256" s="21"/>
      <c r="AC256" s="21"/>
      <c r="AE256" s="19"/>
      <c r="AF256" s="20">
        <f>SUMIF('[1]G-Chart'!G:G,[1]Capacity!D256,'[1]G-Chart'!L:L)</f>
        <v>0</v>
      </c>
      <c r="AG256" s="2">
        <f t="shared" si="71"/>
        <v>0</v>
      </c>
      <c r="AH256" s="2">
        <f t="shared" si="72"/>
        <v>0</v>
      </c>
      <c r="AI256" s="2">
        <f t="shared" si="78"/>
        <v>0</v>
      </c>
      <c r="AJ256" s="1">
        <f t="shared" si="73"/>
        <v>0</v>
      </c>
      <c r="AK256" s="1">
        <f t="shared" si="74"/>
        <v>0</v>
      </c>
      <c r="AL256" s="1">
        <f t="shared" si="75"/>
        <v>0</v>
      </c>
      <c r="AM256" s="1">
        <f t="shared" si="81"/>
        <v>0</v>
      </c>
    </row>
    <row r="257" spans="1:39" x14ac:dyDescent="0.3">
      <c r="A257" s="12">
        <v>255</v>
      </c>
      <c r="B257" s="12" t="s">
        <v>236</v>
      </c>
      <c r="C257" s="13" t="s">
        <v>631</v>
      </c>
      <c r="D257" s="13" t="s">
        <v>631</v>
      </c>
      <c r="E257" s="14"/>
      <c r="F257" s="15">
        <v>0</v>
      </c>
      <c r="G257" s="16">
        <f t="shared" si="76"/>
        <v>0</v>
      </c>
      <c r="H257" s="15"/>
      <c r="I257" s="15">
        <f t="shared" si="64"/>
        <v>0</v>
      </c>
      <c r="J257" s="15"/>
      <c r="K257" s="15">
        <f t="shared" si="77"/>
        <v>0</v>
      </c>
      <c r="L257" s="15"/>
      <c r="M257" s="15">
        <f t="shared" si="65"/>
        <v>0</v>
      </c>
      <c r="N257" s="15"/>
      <c r="O257" s="15">
        <f t="shared" si="66"/>
        <v>0</v>
      </c>
      <c r="P257" s="15"/>
      <c r="Q257" s="15">
        <f t="shared" si="67"/>
        <v>0</v>
      </c>
      <c r="R257" s="15"/>
      <c r="S257" s="15">
        <f t="shared" si="68"/>
        <v>0</v>
      </c>
      <c r="T257" s="15"/>
      <c r="U257" s="15">
        <f t="shared" si="69"/>
        <v>0</v>
      </c>
      <c r="V257" s="15">
        <f t="shared" si="82"/>
        <v>0</v>
      </c>
      <c r="W257" s="17"/>
      <c r="X257" s="17"/>
      <c r="Y257" s="18">
        <v>0.42199999999999999</v>
      </c>
      <c r="Z257" s="1">
        <f t="shared" si="70"/>
        <v>0</v>
      </c>
      <c r="AA257" s="21"/>
      <c r="AC257" s="21"/>
      <c r="AE257" s="19"/>
      <c r="AF257" s="20">
        <f>SUMIF('[1]G-Chart'!G:G,[1]Capacity!D257,'[1]G-Chart'!L:L)</f>
        <v>0</v>
      </c>
      <c r="AG257" s="2">
        <f t="shared" si="71"/>
        <v>0</v>
      </c>
      <c r="AH257" s="2">
        <f t="shared" si="72"/>
        <v>0</v>
      </c>
      <c r="AI257" s="2">
        <f t="shared" si="78"/>
        <v>0</v>
      </c>
      <c r="AJ257" s="1">
        <f t="shared" si="73"/>
        <v>0</v>
      </c>
      <c r="AK257" s="1">
        <f t="shared" si="74"/>
        <v>0</v>
      </c>
      <c r="AL257" s="1">
        <f t="shared" si="75"/>
        <v>0</v>
      </c>
      <c r="AM257" s="1">
        <f t="shared" si="81"/>
        <v>0</v>
      </c>
    </row>
    <row r="258" spans="1:39" x14ac:dyDescent="0.3">
      <c r="A258" s="12">
        <v>256</v>
      </c>
      <c r="B258" s="12" t="s">
        <v>236</v>
      </c>
      <c r="C258" s="13" t="s">
        <v>632</v>
      </c>
      <c r="D258" s="13" t="s">
        <v>632</v>
      </c>
      <c r="E258" s="14" t="s">
        <v>633</v>
      </c>
      <c r="F258" s="15">
        <v>0</v>
      </c>
      <c r="G258" s="16">
        <f t="shared" si="76"/>
        <v>2</v>
      </c>
      <c r="H258" s="15"/>
      <c r="I258" s="15">
        <f t="shared" si="64"/>
        <v>0</v>
      </c>
      <c r="J258" s="15"/>
      <c r="K258" s="15">
        <f t="shared" si="77"/>
        <v>0</v>
      </c>
      <c r="L258" s="15"/>
      <c r="M258" s="15">
        <f t="shared" si="65"/>
        <v>0</v>
      </c>
      <c r="N258" s="15"/>
      <c r="O258" s="15">
        <f t="shared" si="66"/>
        <v>0</v>
      </c>
      <c r="P258" s="15"/>
      <c r="Q258" s="15">
        <f t="shared" si="67"/>
        <v>0</v>
      </c>
      <c r="R258" s="15"/>
      <c r="S258" s="15">
        <f t="shared" si="68"/>
        <v>0</v>
      </c>
      <c r="T258" s="15">
        <v>2</v>
      </c>
      <c r="U258" s="15">
        <f t="shared" si="69"/>
        <v>0</v>
      </c>
      <c r="V258" s="15">
        <f t="shared" si="82"/>
        <v>0</v>
      </c>
      <c r="W258" s="17"/>
      <c r="X258" s="17"/>
      <c r="Y258" s="18">
        <v>5.2999999999999999E-2</v>
      </c>
      <c r="Z258" s="1">
        <f t="shared" si="70"/>
        <v>0</v>
      </c>
      <c r="AA258" s="21"/>
      <c r="AC258" s="21"/>
      <c r="AE258" s="19"/>
      <c r="AF258" s="20">
        <f>SUMIF('[1]G-Chart'!G:G,[1]Capacity!D258,'[1]G-Chart'!L:L)</f>
        <v>0</v>
      </c>
      <c r="AG258" s="2">
        <f t="shared" si="71"/>
        <v>0</v>
      </c>
      <c r="AH258" s="2">
        <f t="shared" si="72"/>
        <v>0</v>
      </c>
      <c r="AI258" s="2">
        <f t="shared" si="78"/>
        <v>0</v>
      </c>
      <c r="AJ258" s="1">
        <f t="shared" si="73"/>
        <v>0</v>
      </c>
      <c r="AK258" s="1">
        <f t="shared" si="74"/>
        <v>0</v>
      </c>
      <c r="AL258" s="1">
        <f t="shared" si="75"/>
        <v>0</v>
      </c>
      <c r="AM258" s="1">
        <f t="shared" si="81"/>
        <v>0</v>
      </c>
    </row>
    <row r="259" spans="1:39" x14ac:dyDescent="0.3">
      <c r="A259" s="12">
        <v>257</v>
      </c>
      <c r="B259" s="12" t="s">
        <v>236</v>
      </c>
      <c r="C259" s="13" t="s">
        <v>634</v>
      </c>
      <c r="D259" s="13" t="s">
        <v>634</v>
      </c>
      <c r="E259" s="14"/>
      <c r="F259" s="15">
        <v>0</v>
      </c>
      <c r="G259" s="16">
        <f t="shared" si="76"/>
        <v>0</v>
      </c>
      <c r="H259" s="15"/>
      <c r="I259" s="15">
        <f t="shared" si="64"/>
        <v>0</v>
      </c>
      <c r="J259" s="15"/>
      <c r="K259" s="15">
        <f t="shared" si="77"/>
        <v>0</v>
      </c>
      <c r="L259" s="15"/>
      <c r="M259" s="15">
        <f t="shared" si="65"/>
        <v>0</v>
      </c>
      <c r="N259" s="15"/>
      <c r="O259" s="15">
        <f t="shared" si="66"/>
        <v>0</v>
      </c>
      <c r="P259" s="15"/>
      <c r="Q259" s="15">
        <f t="shared" si="67"/>
        <v>0</v>
      </c>
      <c r="R259" s="15"/>
      <c r="S259" s="15">
        <f t="shared" si="68"/>
        <v>0</v>
      </c>
      <c r="T259" s="15"/>
      <c r="U259" s="15">
        <f t="shared" si="69"/>
        <v>0</v>
      </c>
      <c r="V259" s="15">
        <f t="shared" si="82"/>
        <v>0</v>
      </c>
      <c r="W259" s="17"/>
      <c r="X259" s="17"/>
      <c r="Y259" s="18">
        <v>0.73899999999999999</v>
      </c>
      <c r="Z259" s="1">
        <f t="shared" si="70"/>
        <v>0</v>
      </c>
      <c r="AA259" s="21"/>
      <c r="AC259" s="21"/>
      <c r="AE259" s="19"/>
      <c r="AF259" s="20">
        <f>SUMIF('[1]G-Chart'!G:G,[1]Capacity!D259,'[1]G-Chart'!L:L)</f>
        <v>0</v>
      </c>
      <c r="AG259" s="2">
        <f t="shared" ref="AG259:AG322" si="83">AF259*J259</f>
        <v>0</v>
      </c>
      <c r="AH259" s="2">
        <f t="shared" ref="AH259:AH322" si="84">AF259*L259</f>
        <v>0</v>
      </c>
      <c r="AI259" s="2">
        <f t="shared" si="78"/>
        <v>0</v>
      </c>
      <c r="AJ259" s="1">
        <f t="shared" ref="AJ259:AJ322" si="85">AF259*P259</f>
        <v>0</v>
      </c>
      <c r="AK259" s="1">
        <f t="shared" ref="AK259:AK322" si="86">AF259*R259</f>
        <v>0</v>
      </c>
      <c r="AL259" s="1">
        <f t="shared" ref="AL259:AL322" si="87">AF259*T259</f>
        <v>0</v>
      </c>
      <c r="AM259" s="1">
        <f t="shared" si="81"/>
        <v>0</v>
      </c>
    </row>
    <row r="260" spans="1:39" x14ac:dyDescent="0.3">
      <c r="A260" s="12">
        <v>258</v>
      </c>
      <c r="B260" s="12" t="s">
        <v>445</v>
      </c>
      <c r="C260" s="13" t="s">
        <v>635</v>
      </c>
      <c r="D260" s="13" t="s">
        <v>636</v>
      </c>
      <c r="E260" s="14"/>
      <c r="F260" s="15">
        <f>AB260</f>
        <v>0</v>
      </c>
      <c r="G260" s="16">
        <f t="shared" ref="G260:G323" si="88">H260+J260+L260+N260+P260+R260+T260</f>
        <v>0</v>
      </c>
      <c r="H260" s="15"/>
      <c r="I260" s="15">
        <f t="shared" ref="I260:I323" si="89">H260*F260</f>
        <v>0</v>
      </c>
      <c r="J260" s="15"/>
      <c r="K260" s="15">
        <f t="shared" ref="K260:K323" si="90">F260*J260</f>
        <v>0</v>
      </c>
      <c r="L260" s="15"/>
      <c r="M260" s="15">
        <f t="shared" ref="M260:M323" si="91">L260*F260</f>
        <v>0</v>
      </c>
      <c r="N260" s="15"/>
      <c r="O260" s="15">
        <f t="shared" ref="O260:O323" si="92">N260*F260</f>
        <v>0</v>
      </c>
      <c r="P260" s="15"/>
      <c r="Q260" s="15">
        <f t="shared" ref="Q260:Q323" si="93">P260*F260</f>
        <v>0</v>
      </c>
      <c r="R260" s="15"/>
      <c r="S260" s="15">
        <f t="shared" ref="S260:S323" si="94">R260*F260</f>
        <v>0</v>
      </c>
      <c r="T260" s="15"/>
      <c r="U260" s="15">
        <f t="shared" ref="U260:U323" si="95">T260*F260</f>
        <v>0</v>
      </c>
      <c r="V260" s="15">
        <f t="shared" si="82"/>
        <v>0</v>
      </c>
      <c r="W260" s="17"/>
      <c r="X260" s="17"/>
      <c r="Y260" s="18">
        <v>0.13500000000000001</v>
      </c>
      <c r="Z260" s="1">
        <f t="shared" ref="Z260:Z323" si="96">F260/25</f>
        <v>0</v>
      </c>
      <c r="AA260" s="21"/>
      <c r="AB260" s="1">
        <f>AD260*AA260</f>
        <v>0</v>
      </c>
      <c r="AC260" s="21"/>
      <c r="AE260" s="19"/>
      <c r="AF260" s="20">
        <f>SUMIF('[1]G-Chart'!G:G,[1]Capacity!D260,'[1]G-Chart'!L:L)</f>
        <v>0</v>
      </c>
      <c r="AG260" s="2">
        <f t="shared" si="83"/>
        <v>0</v>
      </c>
      <c r="AH260" s="2">
        <f t="shared" si="84"/>
        <v>0</v>
      </c>
      <c r="AI260" s="2">
        <f t="shared" ref="AI260:AI323" si="97">AF260*N260</f>
        <v>0</v>
      </c>
      <c r="AJ260" s="1">
        <f t="shared" si="85"/>
        <v>0</v>
      </c>
      <c r="AK260" s="1">
        <f t="shared" si="86"/>
        <v>0</v>
      </c>
      <c r="AL260" s="1">
        <f t="shared" si="87"/>
        <v>0</v>
      </c>
      <c r="AM260" s="1">
        <f t="shared" si="81"/>
        <v>0</v>
      </c>
    </row>
    <row r="261" spans="1:39" x14ac:dyDescent="0.3">
      <c r="A261" s="12">
        <v>259</v>
      </c>
      <c r="B261" s="12" t="s">
        <v>96</v>
      </c>
      <c r="C261" s="13" t="s">
        <v>637</v>
      </c>
      <c r="D261" s="23" t="s">
        <v>637</v>
      </c>
      <c r="E261" s="14" t="s">
        <v>638</v>
      </c>
      <c r="F261" s="15">
        <v>0</v>
      </c>
      <c r="G261" s="16">
        <f t="shared" si="88"/>
        <v>2</v>
      </c>
      <c r="H261" s="15"/>
      <c r="I261" s="15">
        <f t="shared" si="89"/>
        <v>0</v>
      </c>
      <c r="J261" s="15"/>
      <c r="K261" s="15">
        <f t="shared" si="90"/>
        <v>0</v>
      </c>
      <c r="L261" s="15"/>
      <c r="M261" s="15">
        <f t="shared" si="91"/>
        <v>0</v>
      </c>
      <c r="N261" s="15"/>
      <c r="O261" s="15">
        <f t="shared" si="92"/>
        <v>0</v>
      </c>
      <c r="P261" s="15">
        <v>2</v>
      </c>
      <c r="Q261" s="15">
        <f t="shared" si="93"/>
        <v>0</v>
      </c>
      <c r="R261" s="15"/>
      <c r="S261" s="15">
        <f t="shared" si="94"/>
        <v>0</v>
      </c>
      <c r="T261" s="15"/>
      <c r="U261" s="15">
        <f t="shared" si="95"/>
        <v>0</v>
      </c>
      <c r="V261" s="15">
        <f t="shared" si="82"/>
        <v>0</v>
      </c>
      <c r="W261" s="17"/>
      <c r="X261" s="17"/>
      <c r="Y261" s="18">
        <v>6.5000000000000002E-2</v>
      </c>
      <c r="Z261" s="1">
        <f t="shared" si="96"/>
        <v>0</v>
      </c>
      <c r="AA261" s="21"/>
      <c r="AC261" s="21"/>
      <c r="AE261" s="19"/>
      <c r="AF261" s="20">
        <f>SUMIF('[1]G-Chart'!G:G,[1]Capacity!D261,'[1]G-Chart'!L:L)</f>
        <v>0</v>
      </c>
      <c r="AG261" s="2">
        <f t="shared" si="83"/>
        <v>0</v>
      </c>
      <c r="AH261" s="2">
        <f t="shared" si="84"/>
        <v>0</v>
      </c>
      <c r="AI261" s="2">
        <f t="shared" si="97"/>
        <v>0</v>
      </c>
      <c r="AJ261" s="1">
        <f t="shared" si="85"/>
        <v>0</v>
      </c>
      <c r="AK261" s="1">
        <f t="shared" si="86"/>
        <v>0</v>
      </c>
      <c r="AL261" s="1">
        <f t="shared" si="87"/>
        <v>0</v>
      </c>
      <c r="AM261" s="1">
        <f t="shared" si="81"/>
        <v>0</v>
      </c>
    </row>
    <row r="262" spans="1:39" x14ac:dyDescent="0.3">
      <c r="A262" s="12">
        <v>260</v>
      </c>
      <c r="B262" s="12" t="s">
        <v>26</v>
      </c>
      <c r="C262" s="13" t="s">
        <v>639</v>
      </c>
      <c r="D262" s="13" t="s">
        <v>639</v>
      </c>
      <c r="E262" s="14" t="s">
        <v>640</v>
      </c>
      <c r="F262" s="15">
        <v>0</v>
      </c>
      <c r="G262" s="16">
        <f t="shared" si="88"/>
        <v>1</v>
      </c>
      <c r="H262" s="15"/>
      <c r="I262" s="15">
        <f t="shared" si="89"/>
        <v>0</v>
      </c>
      <c r="J262" s="15"/>
      <c r="K262" s="15">
        <f t="shared" si="90"/>
        <v>0</v>
      </c>
      <c r="L262" s="15"/>
      <c r="M262" s="15">
        <f t="shared" si="91"/>
        <v>0</v>
      </c>
      <c r="N262" s="15"/>
      <c r="O262" s="15">
        <f t="shared" si="92"/>
        <v>0</v>
      </c>
      <c r="P262" s="15">
        <v>1</v>
      </c>
      <c r="Q262" s="15">
        <f t="shared" si="93"/>
        <v>0</v>
      </c>
      <c r="R262" s="15"/>
      <c r="S262" s="15">
        <f t="shared" si="94"/>
        <v>0</v>
      </c>
      <c r="T262" s="15"/>
      <c r="U262" s="15">
        <f t="shared" si="95"/>
        <v>0</v>
      </c>
      <c r="V262" s="15">
        <f t="shared" si="82"/>
        <v>0</v>
      </c>
      <c r="W262" s="17"/>
      <c r="X262" s="17"/>
      <c r="Y262" s="18">
        <v>3.3000000000000002E-2</v>
      </c>
      <c r="Z262" s="1">
        <f t="shared" si="96"/>
        <v>0</v>
      </c>
      <c r="AA262" s="21"/>
      <c r="AC262" s="21"/>
      <c r="AE262" s="19"/>
      <c r="AF262" s="20">
        <f>SUMIF('[1]G-Chart'!G:G,[1]Capacity!D262,'[1]G-Chart'!L:L)</f>
        <v>0</v>
      </c>
      <c r="AG262" s="2">
        <f t="shared" si="83"/>
        <v>0</v>
      </c>
      <c r="AH262" s="2">
        <f t="shared" si="84"/>
        <v>0</v>
      </c>
      <c r="AI262" s="2">
        <f t="shared" si="97"/>
        <v>0</v>
      </c>
      <c r="AJ262" s="1">
        <f t="shared" si="85"/>
        <v>0</v>
      </c>
      <c r="AK262" s="1">
        <f t="shared" si="86"/>
        <v>0</v>
      </c>
      <c r="AL262" s="1">
        <f t="shared" si="87"/>
        <v>0</v>
      </c>
      <c r="AM262" s="1">
        <f t="shared" si="81"/>
        <v>0</v>
      </c>
    </row>
    <row r="263" spans="1:39" x14ac:dyDescent="0.3">
      <c r="A263" s="12">
        <v>261</v>
      </c>
      <c r="B263" s="12" t="s">
        <v>445</v>
      </c>
      <c r="C263" s="13" t="s">
        <v>641</v>
      </c>
      <c r="D263" s="13" t="s">
        <v>641</v>
      </c>
      <c r="E263" s="14" t="s">
        <v>642</v>
      </c>
      <c r="F263" s="15">
        <f>AB263</f>
        <v>0</v>
      </c>
      <c r="G263" s="16">
        <f t="shared" si="88"/>
        <v>4</v>
      </c>
      <c r="H263" s="15"/>
      <c r="I263" s="15">
        <f t="shared" si="89"/>
        <v>0</v>
      </c>
      <c r="J263" s="15"/>
      <c r="K263" s="15">
        <f t="shared" si="90"/>
        <v>0</v>
      </c>
      <c r="L263" s="15"/>
      <c r="M263" s="15">
        <f t="shared" si="91"/>
        <v>0</v>
      </c>
      <c r="N263" s="15"/>
      <c r="O263" s="15">
        <f t="shared" si="92"/>
        <v>0</v>
      </c>
      <c r="P263" s="15">
        <v>2</v>
      </c>
      <c r="Q263" s="15">
        <f t="shared" si="93"/>
        <v>0</v>
      </c>
      <c r="R263" s="15">
        <v>1</v>
      </c>
      <c r="S263" s="15">
        <f t="shared" si="94"/>
        <v>0</v>
      </c>
      <c r="T263" s="15">
        <v>1</v>
      </c>
      <c r="U263" s="15">
        <f t="shared" si="95"/>
        <v>0</v>
      </c>
      <c r="V263" s="15">
        <f t="shared" si="82"/>
        <v>0</v>
      </c>
      <c r="W263" s="17"/>
      <c r="X263" s="17"/>
      <c r="Y263" s="18">
        <v>3.1E-2</v>
      </c>
      <c r="Z263" s="1">
        <f t="shared" si="96"/>
        <v>0</v>
      </c>
      <c r="AA263" s="21"/>
      <c r="AB263" s="1">
        <f>AD263*AA263</f>
        <v>0</v>
      </c>
      <c r="AC263" s="21"/>
      <c r="AE263" s="19"/>
      <c r="AF263" s="20">
        <f>SUMIF('[1]G-Chart'!G:G,[1]Capacity!D263,'[1]G-Chart'!L:L)</f>
        <v>0</v>
      </c>
      <c r="AG263" s="2">
        <f t="shared" si="83"/>
        <v>0</v>
      </c>
      <c r="AH263" s="2">
        <f t="shared" si="84"/>
        <v>0</v>
      </c>
      <c r="AI263" s="2">
        <f t="shared" si="97"/>
        <v>0</v>
      </c>
      <c r="AJ263" s="1">
        <f t="shared" si="85"/>
        <v>0</v>
      </c>
      <c r="AK263" s="1">
        <f t="shared" si="86"/>
        <v>0</v>
      </c>
      <c r="AL263" s="1">
        <f t="shared" si="87"/>
        <v>0</v>
      </c>
      <c r="AM263" s="1">
        <f t="shared" si="81"/>
        <v>0</v>
      </c>
    </row>
    <row r="264" spans="1:39" x14ac:dyDescent="0.3">
      <c r="A264" s="12">
        <v>262</v>
      </c>
      <c r="B264" s="12" t="s">
        <v>236</v>
      </c>
      <c r="C264" s="13" t="s">
        <v>643</v>
      </c>
      <c r="D264" s="13" t="s">
        <v>644</v>
      </c>
      <c r="E264" s="14" t="s">
        <v>645</v>
      </c>
      <c r="F264" s="15">
        <v>0</v>
      </c>
      <c r="G264" s="16">
        <f t="shared" si="88"/>
        <v>1</v>
      </c>
      <c r="H264" s="15"/>
      <c r="I264" s="15">
        <f t="shared" si="89"/>
        <v>0</v>
      </c>
      <c r="J264" s="15"/>
      <c r="K264" s="15">
        <f t="shared" si="90"/>
        <v>0</v>
      </c>
      <c r="L264" s="15"/>
      <c r="M264" s="15">
        <f t="shared" si="91"/>
        <v>0</v>
      </c>
      <c r="N264" s="15"/>
      <c r="O264" s="15">
        <f t="shared" si="92"/>
        <v>0</v>
      </c>
      <c r="P264" s="15">
        <v>1</v>
      </c>
      <c r="Q264" s="15">
        <f t="shared" si="93"/>
        <v>0</v>
      </c>
      <c r="R264" s="15"/>
      <c r="S264" s="15">
        <f t="shared" si="94"/>
        <v>0</v>
      </c>
      <c r="T264" s="15"/>
      <c r="U264" s="15">
        <f t="shared" si="95"/>
        <v>0</v>
      </c>
      <c r="V264" s="15">
        <f t="shared" si="82"/>
        <v>0</v>
      </c>
      <c r="W264" s="17"/>
      <c r="X264" s="17"/>
      <c r="Y264" s="18">
        <v>9.6000000000000002E-2</v>
      </c>
      <c r="Z264" s="1">
        <f t="shared" si="96"/>
        <v>0</v>
      </c>
      <c r="AA264" s="21"/>
      <c r="AC264" s="21"/>
      <c r="AE264" s="19"/>
      <c r="AF264" s="20">
        <f>SUMIF('[1]G-Chart'!G:G,[1]Capacity!D264,'[1]G-Chart'!L:L)</f>
        <v>0</v>
      </c>
      <c r="AG264" s="2">
        <f t="shared" si="83"/>
        <v>0</v>
      </c>
      <c r="AH264" s="2">
        <f t="shared" si="84"/>
        <v>0</v>
      </c>
      <c r="AI264" s="2">
        <f t="shared" si="97"/>
        <v>0</v>
      </c>
      <c r="AJ264" s="1">
        <f t="shared" si="85"/>
        <v>0</v>
      </c>
      <c r="AK264" s="1">
        <f t="shared" si="86"/>
        <v>0</v>
      </c>
      <c r="AL264" s="1">
        <f t="shared" si="87"/>
        <v>0</v>
      </c>
      <c r="AM264" s="1">
        <f t="shared" si="81"/>
        <v>0</v>
      </c>
    </row>
    <row r="265" spans="1:39" x14ac:dyDescent="0.3">
      <c r="A265" s="12">
        <v>263</v>
      </c>
      <c r="B265" s="12" t="s">
        <v>236</v>
      </c>
      <c r="C265" s="13" t="s">
        <v>646</v>
      </c>
      <c r="D265" s="13" t="s">
        <v>647</v>
      </c>
      <c r="E265" s="14" t="s">
        <v>648</v>
      </c>
      <c r="F265" s="15">
        <v>0</v>
      </c>
      <c r="G265" s="16">
        <f t="shared" si="88"/>
        <v>1</v>
      </c>
      <c r="H265" s="15"/>
      <c r="I265" s="15">
        <f t="shared" si="89"/>
        <v>0</v>
      </c>
      <c r="J265" s="15"/>
      <c r="K265" s="15">
        <f t="shared" si="90"/>
        <v>0</v>
      </c>
      <c r="L265" s="15"/>
      <c r="M265" s="15">
        <f t="shared" si="91"/>
        <v>0</v>
      </c>
      <c r="N265" s="15"/>
      <c r="O265" s="15">
        <f t="shared" si="92"/>
        <v>0</v>
      </c>
      <c r="P265" s="15">
        <v>1</v>
      </c>
      <c r="Q265" s="15">
        <f t="shared" si="93"/>
        <v>0</v>
      </c>
      <c r="R265" s="15"/>
      <c r="S265" s="15">
        <f t="shared" si="94"/>
        <v>0</v>
      </c>
      <c r="T265" s="15"/>
      <c r="U265" s="15">
        <f t="shared" si="95"/>
        <v>0</v>
      </c>
      <c r="V265" s="15">
        <f t="shared" si="82"/>
        <v>0</v>
      </c>
      <c r="W265" s="17"/>
      <c r="X265" s="17"/>
      <c r="Y265" s="18">
        <v>9.6000000000000002E-2</v>
      </c>
      <c r="Z265" s="1">
        <f t="shared" si="96"/>
        <v>0</v>
      </c>
      <c r="AA265" s="21"/>
      <c r="AC265" s="21"/>
      <c r="AE265" s="19"/>
      <c r="AF265" s="20">
        <f>SUMIF('[1]G-Chart'!G:G,[1]Capacity!D265,'[1]G-Chart'!L:L)</f>
        <v>0</v>
      </c>
      <c r="AG265" s="2">
        <f t="shared" si="83"/>
        <v>0</v>
      </c>
      <c r="AH265" s="2">
        <f t="shared" si="84"/>
        <v>0</v>
      </c>
      <c r="AI265" s="2">
        <f t="shared" si="97"/>
        <v>0</v>
      </c>
      <c r="AJ265" s="1">
        <f t="shared" si="85"/>
        <v>0</v>
      </c>
      <c r="AK265" s="1">
        <f t="shared" si="86"/>
        <v>0</v>
      </c>
      <c r="AL265" s="1">
        <f t="shared" si="87"/>
        <v>0</v>
      </c>
      <c r="AM265" s="1">
        <f t="shared" si="81"/>
        <v>0</v>
      </c>
    </row>
    <row r="266" spans="1:39" x14ac:dyDescent="0.3">
      <c r="A266" s="12">
        <v>264</v>
      </c>
      <c r="B266" s="12" t="s">
        <v>236</v>
      </c>
      <c r="C266" s="13" t="s">
        <v>649</v>
      </c>
      <c r="D266" s="13" t="s">
        <v>650</v>
      </c>
      <c r="E266" s="14" t="s">
        <v>651</v>
      </c>
      <c r="F266" s="15">
        <v>0</v>
      </c>
      <c r="G266" s="16">
        <f t="shared" si="88"/>
        <v>1</v>
      </c>
      <c r="H266" s="15"/>
      <c r="I266" s="15">
        <f t="shared" si="89"/>
        <v>0</v>
      </c>
      <c r="J266" s="15"/>
      <c r="K266" s="15">
        <f t="shared" si="90"/>
        <v>0</v>
      </c>
      <c r="L266" s="15"/>
      <c r="M266" s="15">
        <f t="shared" si="91"/>
        <v>0</v>
      </c>
      <c r="N266" s="15"/>
      <c r="O266" s="15">
        <f t="shared" si="92"/>
        <v>0</v>
      </c>
      <c r="P266" s="15">
        <v>1</v>
      </c>
      <c r="Q266" s="15">
        <f t="shared" si="93"/>
        <v>0</v>
      </c>
      <c r="R266" s="15"/>
      <c r="S266" s="15">
        <f t="shared" si="94"/>
        <v>0</v>
      </c>
      <c r="T266" s="15"/>
      <c r="U266" s="15">
        <f t="shared" si="95"/>
        <v>0</v>
      </c>
      <c r="V266" s="15">
        <f t="shared" si="82"/>
        <v>0</v>
      </c>
      <c r="W266" s="17"/>
      <c r="X266" s="17"/>
      <c r="Y266" s="18">
        <v>0.15</v>
      </c>
      <c r="Z266" s="1">
        <f t="shared" si="96"/>
        <v>0</v>
      </c>
      <c r="AA266" s="21"/>
      <c r="AC266" s="21"/>
      <c r="AE266" s="19"/>
      <c r="AF266" s="20">
        <f>SUMIF('[1]G-Chart'!G:G,[1]Capacity!D266,'[1]G-Chart'!L:L)</f>
        <v>0</v>
      </c>
      <c r="AG266" s="2">
        <f t="shared" si="83"/>
        <v>0</v>
      </c>
      <c r="AH266" s="2">
        <f t="shared" si="84"/>
        <v>0</v>
      </c>
      <c r="AI266" s="2">
        <f t="shared" si="97"/>
        <v>0</v>
      </c>
      <c r="AJ266" s="1">
        <f t="shared" si="85"/>
        <v>0</v>
      </c>
      <c r="AK266" s="1">
        <f t="shared" si="86"/>
        <v>0</v>
      </c>
      <c r="AL266" s="1">
        <f t="shared" si="87"/>
        <v>0</v>
      </c>
      <c r="AM266" s="1">
        <f t="shared" si="81"/>
        <v>0</v>
      </c>
    </row>
    <row r="267" spans="1:39" x14ac:dyDescent="0.3">
      <c r="A267" s="12">
        <v>265</v>
      </c>
      <c r="B267" s="12" t="s">
        <v>236</v>
      </c>
      <c r="C267" s="13" t="s">
        <v>652</v>
      </c>
      <c r="D267" s="13" t="s">
        <v>653</v>
      </c>
      <c r="E267" s="14" t="s">
        <v>654</v>
      </c>
      <c r="F267" s="15">
        <v>0</v>
      </c>
      <c r="G267" s="16">
        <f t="shared" si="88"/>
        <v>1</v>
      </c>
      <c r="H267" s="15"/>
      <c r="I267" s="15">
        <f t="shared" si="89"/>
        <v>0</v>
      </c>
      <c r="J267" s="15"/>
      <c r="K267" s="15">
        <f t="shared" si="90"/>
        <v>0</v>
      </c>
      <c r="L267" s="15"/>
      <c r="M267" s="15">
        <f t="shared" si="91"/>
        <v>0</v>
      </c>
      <c r="N267" s="15"/>
      <c r="O267" s="15">
        <f t="shared" si="92"/>
        <v>0</v>
      </c>
      <c r="P267" s="15">
        <v>1</v>
      </c>
      <c r="Q267" s="15">
        <f t="shared" si="93"/>
        <v>0</v>
      </c>
      <c r="R267" s="15"/>
      <c r="S267" s="15">
        <f t="shared" si="94"/>
        <v>0</v>
      </c>
      <c r="T267" s="15"/>
      <c r="U267" s="15">
        <f t="shared" si="95"/>
        <v>0</v>
      </c>
      <c r="V267" s="15">
        <f t="shared" si="82"/>
        <v>0</v>
      </c>
      <c r="W267" s="17"/>
      <c r="X267" s="17"/>
      <c r="Y267" s="18">
        <v>0.13200000000000001</v>
      </c>
      <c r="Z267" s="1">
        <f t="shared" si="96"/>
        <v>0</v>
      </c>
      <c r="AA267" s="21"/>
      <c r="AC267" s="21"/>
      <c r="AE267" s="19"/>
      <c r="AF267" s="20">
        <f>SUMIF('[1]G-Chart'!G:G,[1]Capacity!D267,'[1]G-Chart'!L:L)</f>
        <v>0</v>
      </c>
      <c r="AG267" s="2">
        <f t="shared" si="83"/>
        <v>0</v>
      </c>
      <c r="AH267" s="2">
        <f t="shared" si="84"/>
        <v>0</v>
      </c>
      <c r="AI267" s="2">
        <f t="shared" si="97"/>
        <v>0</v>
      </c>
      <c r="AJ267" s="1">
        <f t="shared" si="85"/>
        <v>0</v>
      </c>
      <c r="AK267" s="1">
        <f t="shared" si="86"/>
        <v>0</v>
      </c>
      <c r="AL267" s="1">
        <f t="shared" si="87"/>
        <v>0</v>
      </c>
      <c r="AM267" s="1">
        <f t="shared" si="81"/>
        <v>0</v>
      </c>
    </row>
    <row r="268" spans="1:39" x14ac:dyDescent="0.3">
      <c r="A268" s="12">
        <v>266</v>
      </c>
      <c r="B268" s="12" t="s">
        <v>445</v>
      </c>
      <c r="C268" s="13" t="s">
        <v>655</v>
      </c>
      <c r="D268" s="13" t="s">
        <v>656</v>
      </c>
      <c r="E268" s="14"/>
      <c r="F268" s="15">
        <f>AB268</f>
        <v>0</v>
      </c>
      <c r="G268" s="16">
        <f t="shared" si="88"/>
        <v>0</v>
      </c>
      <c r="H268" s="15"/>
      <c r="I268" s="15">
        <f t="shared" si="89"/>
        <v>0</v>
      </c>
      <c r="J268" s="15"/>
      <c r="K268" s="15">
        <f t="shared" si="90"/>
        <v>0</v>
      </c>
      <c r="L268" s="15"/>
      <c r="M268" s="15">
        <f t="shared" si="91"/>
        <v>0</v>
      </c>
      <c r="N268" s="15"/>
      <c r="O268" s="15">
        <f t="shared" si="92"/>
        <v>0</v>
      </c>
      <c r="P268" s="15"/>
      <c r="Q268" s="15">
        <f t="shared" si="93"/>
        <v>0</v>
      </c>
      <c r="R268" s="15"/>
      <c r="S268" s="15">
        <f t="shared" si="94"/>
        <v>0</v>
      </c>
      <c r="T268" s="15"/>
      <c r="U268" s="15">
        <f t="shared" si="95"/>
        <v>0</v>
      </c>
      <c r="V268" s="15">
        <f t="shared" si="82"/>
        <v>0</v>
      </c>
      <c r="W268" s="17"/>
      <c r="X268" s="17"/>
      <c r="Y268" s="18">
        <v>0.05</v>
      </c>
      <c r="Z268" s="1">
        <f t="shared" si="96"/>
        <v>0</v>
      </c>
      <c r="AA268" s="21"/>
      <c r="AB268" s="1">
        <f>AD268*AA268</f>
        <v>0</v>
      </c>
      <c r="AC268" s="21"/>
      <c r="AE268" s="19"/>
      <c r="AF268" s="20">
        <f>SUMIF('[1]G-Chart'!G:G,[1]Capacity!D268,'[1]G-Chart'!L:L)</f>
        <v>0</v>
      </c>
      <c r="AG268" s="2">
        <f t="shared" si="83"/>
        <v>0</v>
      </c>
      <c r="AH268" s="2">
        <f t="shared" si="84"/>
        <v>0</v>
      </c>
      <c r="AI268" s="2">
        <f t="shared" si="97"/>
        <v>0</v>
      </c>
      <c r="AJ268" s="1">
        <f t="shared" si="85"/>
        <v>0</v>
      </c>
      <c r="AK268" s="1">
        <f t="shared" si="86"/>
        <v>0</v>
      </c>
      <c r="AL268" s="1">
        <f t="shared" si="87"/>
        <v>0</v>
      </c>
      <c r="AM268" s="1">
        <f t="shared" si="81"/>
        <v>0</v>
      </c>
    </row>
    <row r="269" spans="1:39" x14ac:dyDescent="0.3">
      <c r="A269" s="12">
        <v>267</v>
      </c>
      <c r="B269" s="12" t="s">
        <v>445</v>
      </c>
      <c r="C269" s="23" t="s">
        <v>657</v>
      </c>
      <c r="D269" s="13" t="s">
        <v>658</v>
      </c>
      <c r="E269" s="14"/>
      <c r="F269" s="15">
        <f>AB269</f>
        <v>0</v>
      </c>
      <c r="G269" s="16">
        <f t="shared" si="88"/>
        <v>2</v>
      </c>
      <c r="H269" s="15"/>
      <c r="I269" s="15">
        <f t="shared" si="89"/>
        <v>0</v>
      </c>
      <c r="J269" s="15"/>
      <c r="K269" s="15">
        <f t="shared" si="90"/>
        <v>0</v>
      </c>
      <c r="L269" s="15"/>
      <c r="M269" s="15">
        <f t="shared" si="91"/>
        <v>0</v>
      </c>
      <c r="N269" s="15"/>
      <c r="O269" s="15">
        <f t="shared" si="92"/>
        <v>0</v>
      </c>
      <c r="P269" s="15">
        <v>1</v>
      </c>
      <c r="Q269" s="15">
        <f t="shared" si="93"/>
        <v>0</v>
      </c>
      <c r="R269" s="15">
        <v>1</v>
      </c>
      <c r="S269" s="15">
        <f t="shared" si="94"/>
        <v>0</v>
      </c>
      <c r="T269" s="15"/>
      <c r="U269" s="15">
        <f t="shared" si="95"/>
        <v>0</v>
      </c>
      <c r="V269" s="15">
        <f t="shared" si="82"/>
        <v>0</v>
      </c>
      <c r="W269" s="17"/>
      <c r="X269" s="17"/>
      <c r="Y269" s="18">
        <v>0.32600000000000001</v>
      </c>
      <c r="Z269" s="1">
        <f t="shared" si="96"/>
        <v>0</v>
      </c>
      <c r="AA269" s="21"/>
      <c r="AB269" s="1">
        <f>AD269*AA269</f>
        <v>0</v>
      </c>
      <c r="AC269" s="21"/>
      <c r="AE269" s="19"/>
      <c r="AF269" s="20">
        <f>SUMIF('[1]G-Chart'!G:G,[1]Capacity!D269,'[1]G-Chart'!L:L)</f>
        <v>0</v>
      </c>
      <c r="AG269" s="2">
        <f t="shared" si="83"/>
        <v>0</v>
      </c>
      <c r="AH269" s="2">
        <f t="shared" si="84"/>
        <v>0</v>
      </c>
      <c r="AI269" s="2">
        <f t="shared" si="97"/>
        <v>0</v>
      </c>
      <c r="AJ269" s="1">
        <f t="shared" si="85"/>
        <v>0</v>
      </c>
      <c r="AK269" s="1">
        <f t="shared" si="86"/>
        <v>0</v>
      </c>
      <c r="AL269" s="1">
        <f t="shared" si="87"/>
        <v>0</v>
      </c>
      <c r="AM269" s="1">
        <f t="shared" si="81"/>
        <v>0</v>
      </c>
    </row>
    <row r="270" spans="1:39" x14ac:dyDescent="0.3">
      <c r="A270" s="12">
        <v>268</v>
      </c>
      <c r="B270" s="12" t="s">
        <v>445</v>
      </c>
      <c r="C270" s="23" t="s">
        <v>659</v>
      </c>
      <c r="D270" s="13" t="s">
        <v>660</v>
      </c>
      <c r="E270" s="14"/>
      <c r="F270" s="15">
        <f>AB270</f>
        <v>0</v>
      </c>
      <c r="G270" s="16">
        <f t="shared" si="88"/>
        <v>2</v>
      </c>
      <c r="H270" s="15"/>
      <c r="I270" s="15">
        <f t="shared" si="89"/>
        <v>0</v>
      </c>
      <c r="J270" s="15"/>
      <c r="K270" s="15">
        <f t="shared" si="90"/>
        <v>0</v>
      </c>
      <c r="L270" s="15"/>
      <c r="M270" s="15">
        <f t="shared" si="91"/>
        <v>0</v>
      </c>
      <c r="N270" s="15"/>
      <c r="O270" s="15">
        <f t="shared" si="92"/>
        <v>0</v>
      </c>
      <c r="P270" s="15">
        <v>1</v>
      </c>
      <c r="Q270" s="15">
        <f t="shared" si="93"/>
        <v>0</v>
      </c>
      <c r="R270" s="15">
        <v>1</v>
      </c>
      <c r="S270" s="15">
        <f t="shared" si="94"/>
        <v>0</v>
      </c>
      <c r="T270" s="15"/>
      <c r="U270" s="15">
        <f t="shared" si="95"/>
        <v>0</v>
      </c>
      <c r="V270" s="15">
        <f t="shared" si="82"/>
        <v>0</v>
      </c>
      <c r="W270" s="17"/>
      <c r="X270" s="17"/>
      <c r="Y270" s="18">
        <v>0.32600000000000001</v>
      </c>
      <c r="Z270" s="1">
        <f t="shared" si="96"/>
        <v>0</v>
      </c>
      <c r="AA270" s="21"/>
      <c r="AB270" s="1">
        <f>AD270*AA270</f>
        <v>0</v>
      </c>
      <c r="AC270" s="21"/>
      <c r="AE270" s="19"/>
      <c r="AF270" s="20">
        <f>SUMIF('[1]G-Chart'!G:G,[1]Capacity!D270,'[1]G-Chart'!L:L)</f>
        <v>0</v>
      </c>
      <c r="AG270" s="2">
        <f t="shared" si="83"/>
        <v>0</v>
      </c>
      <c r="AH270" s="2">
        <f t="shared" si="84"/>
        <v>0</v>
      </c>
      <c r="AI270" s="2">
        <f t="shared" si="97"/>
        <v>0</v>
      </c>
      <c r="AJ270" s="1">
        <f t="shared" si="85"/>
        <v>0</v>
      </c>
      <c r="AK270" s="1">
        <f t="shared" si="86"/>
        <v>0</v>
      </c>
      <c r="AL270" s="1">
        <f t="shared" si="87"/>
        <v>0</v>
      </c>
      <c r="AM270" s="1">
        <f t="shared" si="81"/>
        <v>0</v>
      </c>
    </row>
    <row r="271" spans="1:39" x14ac:dyDescent="0.3">
      <c r="A271" s="12">
        <v>269</v>
      </c>
      <c r="B271" s="12" t="s">
        <v>236</v>
      </c>
      <c r="C271" s="13" t="s">
        <v>661</v>
      </c>
      <c r="D271" s="13" t="s">
        <v>662</v>
      </c>
      <c r="E271" s="14"/>
      <c r="F271" s="15">
        <v>0</v>
      </c>
      <c r="G271" s="16">
        <f t="shared" si="88"/>
        <v>0</v>
      </c>
      <c r="H271" s="15"/>
      <c r="I271" s="15">
        <f t="shared" si="89"/>
        <v>0</v>
      </c>
      <c r="J271" s="15"/>
      <c r="K271" s="15">
        <f t="shared" si="90"/>
        <v>0</v>
      </c>
      <c r="L271" s="15"/>
      <c r="M271" s="15">
        <f t="shared" si="91"/>
        <v>0</v>
      </c>
      <c r="N271" s="15"/>
      <c r="O271" s="15">
        <f t="shared" si="92"/>
        <v>0</v>
      </c>
      <c r="P271" s="15"/>
      <c r="Q271" s="15">
        <f t="shared" si="93"/>
        <v>0</v>
      </c>
      <c r="R271" s="15"/>
      <c r="S271" s="15">
        <f t="shared" si="94"/>
        <v>0</v>
      </c>
      <c r="T271" s="15"/>
      <c r="U271" s="15">
        <f t="shared" si="95"/>
        <v>0</v>
      </c>
      <c r="V271" s="15">
        <f t="shared" si="82"/>
        <v>0</v>
      </c>
      <c r="W271" s="17"/>
      <c r="X271" s="17"/>
      <c r="Y271" s="18"/>
      <c r="Z271" s="1">
        <f t="shared" si="96"/>
        <v>0</v>
      </c>
      <c r="AA271" s="21"/>
      <c r="AC271" s="21"/>
      <c r="AE271" s="19"/>
      <c r="AF271" s="20">
        <f>SUMIF('[1]G-Chart'!G:G,[1]Capacity!D271,'[1]G-Chart'!L:L)</f>
        <v>0</v>
      </c>
      <c r="AG271" s="2">
        <f t="shared" si="83"/>
        <v>0</v>
      </c>
      <c r="AH271" s="2">
        <f t="shared" si="84"/>
        <v>0</v>
      </c>
      <c r="AI271" s="2">
        <f t="shared" si="97"/>
        <v>0</v>
      </c>
      <c r="AJ271" s="1">
        <f t="shared" si="85"/>
        <v>0</v>
      </c>
      <c r="AK271" s="1">
        <f t="shared" si="86"/>
        <v>0</v>
      </c>
      <c r="AL271" s="1">
        <f t="shared" si="87"/>
        <v>0</v>
      </c>
      <c r="AM271" s="1">
        <f t="shared" si="81"/>
        <v>0</v>
      </c>
    </row>
    <row r="272" spans="1:39" x14ac:dyDescent="0.3">
      <c r="A272" s="12">
        <v>270</v>
      </c>
      <c r="B272" s="12" t="s">
        <v>236</v>
      </c>
      <c r="C272" s="13" t="s">
        <v>663</v>
      </c>
      <c r="D272" s="13" t="s">
        <v>663</v>
      </c>
      <c r="E272" s="14"/>
      <c r="F272" s="15">
        <v>0</v>
      </c>
      <c r="G272" s="16">
        <f t="shared" si="88"/>
        <v>0</v>
      </c>
      <c r="H272" s="15"/>
      <c r="I272" s="15">
        <f t="shared" si="89"/>
        <v>0</v>
      </c>
      <c r="J272" s="15"/>
      <c r="K272" s="15">
        <f t="shared" si="90"/>
        <v>0</v>
      </c>
      <c r="L272" s="15"/>
      <c r="M272" s="15">
        <f t="shared" si="91"/>
        <v>0</v>
      </c>
      <c r="N272" s="15"/>
      <c r="O272" s="15">
        <f t="shared" si="92"/>
        <v>0</v>
      </c>
      <c r="P272" s="15"/>
      <c r="Q272" s="15">
        <f t="shared" si="93"/>
        <v>0</v>
      </c>
      <c r="R272" s="15"/>
      <c r="S272" s="15">
        <f t="shared" si="94"/>
        <v>0</v>
      </c>
      <c r="T272" s="15"/>
      <c r="U272" s="15">
        <f t="shared" si="95"/>
        <v>0</v>
      </c>
      <c r="V272" s="15">
        <f t="shared" si="82"/>
        <v>0</v>
      </c>
      <c r="W272" s="17"/>
      <c r="X272" s="17"/>
      <c r="Y272" s="18">
        <v>0.09</v>
      </c>
      <c r="Z272" s="1">
        <f t="shared" si="96"/>
        <v>0</v>
      </c>
      <c r="AA272" s="21"/>
      <c r="AC272" s="21"/>
      <c r="AE272" s="19"/>
      <c r="AF272" s="20">
        <f>SUMIF('[1]G-Chart'!G:G,[1]Capacity!D272,'[1]G-Chart'!L:L)</f>
        <v>0</v>
      </c>
      <c r="AG272" s="2">
        <f t="shared" si="83"/>
        <v>0</v>
      </c>
      <c r="AH272" s="2">
        <f t="shared" si="84"/>
        <v>0</v>
      </c>
      <c r="AI272" s="2">
        <f t="shared" si="97"/>
        <v>0</v>
      </c>
      <c r="AJ272" s="1">
        <f t="shared" si="85"/>
        <v>0</v>
      </c>
      <c r="AK272" s="1">
        <f t="shared" si="86"/>
        <v>0</v>
      </c>
      <c r="AL272" s="1">
        <f t="shared" si="87"/>
        <v>0</v>
      </c>
      <c r="AM272" s="1">
        <f t="shared" si="81"/>
        <v>0</v>
      </c>
    </row>
    <row r="273" spans="1:39" x14ac:dyDescent="0.3">
      <c r="A273" s="12">
        <v>271</v>
      </c>
      <c r="B273" s="12" t="s">
        <v>236</v>
      </c>
      <c r="C273" s="13" t="s">
        <v>664</v>
      </c>
      <c r="D273" s="13" t="s">
        <v>664</v>
      </c>
      <c r="E273" s="14"/>
      <c r="F273" s="15">
        <v>0</v>
      </c>
      <c r="G273" s="16">
        <f t="shared" si="88"/>
        <v>0</v>
      </c>
      <c r="H273" s="15"/>
      <c r="I273" s="15">
        <f t="shared" si="89"/>
        <v>0</v>
      </c>
      <c r="J273" s="15"/>
      <c r="K273" s="15">
        <f t="shared" si="90"/>
        <v>0</v>
      </c>
      <c r="L273" s="15"/>
      <c r="M273" s="15">
        <f t="shared" si="91"/>
        <v>0</v>
      </c>
      <c r="N273" s="15"/>
      <c r="O273" s="15">
        <f t="shared" si="92"/>
        <v>0</v>
      </c>
      <c r="P273" s="15"/>
      <c r="Q273" s="15">
        <f t="shared" si="93"/>
        <v>0</v>
      </c>
      <c r="R273" s="15"/>
      <c r="S273" s="15">
        <f t="shared" si="94"/>
        <v>0</v>
      </c>
      <c r="T273" s="15"/>
      <c r="U273" s="15">
        <f t="shared" si="95"/>
        <v>0</v>
      </c>
      <c r="V273" s="15">
        <f t="shared" si="82"/>
        <v>0</v>
      </c>
      <c r="W273" s="17"/>
      <c r="X273" s="17"/>
      <c r="Y273" s="18">
        <v>5.1999999999999998E-2</v>
      </c>
      <c r="Z273" s="1">
        <f t="shared" si="96"/>
        <v>0</v>
      </c>
      <c r="AA273" s="21"/>
      <c r="AC273" s="21"/>
      <c r="AE273" s="19"/>
      <c r="AF273" s="20">
        <f>SUMIF('[1]G-Chart'!G:G,[1]Capacity!D273,'[1]G-Chart'!L:L)</f>
        <v>0</v>
      </c>
      <c r="AG273" s="2">
        <f t="shared" si="83"/>
        <v>0</v>
      </c>
      <c r="AH273" s="2">
        <f t="shared" si="84"/>
        <v>0</v>
      </c>
      <c r="AI273" s="2">
        <f t="shared" si="97"/>
        <v>0</v>
      </c>
      <c r="AJ273" s="1">
        <f t="shared" si="85"/>
        <v>0</v>
      </c>
      <c r="AK273" s="1">
        <f t="shared" si="86"/>
        <v>0</v>
      </c>
      <c r="AL273" s="1">
        <f t="shared" si="87"/>
        <v>0</v>
      </c>
      <c r="AM273" s="1">
        <f t="shared" si="81"/>
        <v>0</v>
      </c>
    </row>
    <row r="274" spans="1:39" x14ac:dyDescent="0.3">
      <c r="A274" s="12">
        <v>272</v>
      </c>
      <c r="B274" s="12" t="s">
        <v>236</v>
      </c>
      <c r="C274" s="13" t="s">
        <v>665</v>
      </c>
      <c r="D274" s="13" t="s">
        <v>665</v>
      </c>
      <c r="E274" s="14"/>
      <c r="F274" s="15">
        <v>0</v>
      </c>
      <c r="G274" s="16">
        <f t="shared" si="88"/>
        <v>0</v>
      </c>
      <c r="H274" s="15"/>
      <c r="I274" s="15">
        <f t="shared" si="89"/>
        <v>0</v>
      </c>
      <c r="J274" s="15"/>
      <c r="K274" s="15">
        <f t="shared" si="90"/>
        <v>0</v>
      </c>
      <c r="L274" s="15"/>
      <c r="M274" s="15">
        <f t="shared" si="91"/>
        <v>0</v>
      </c>
      <c r="N274" s="15"/>
      <c r="O274" s="15">
        <f t="shared" si="92"/>
        <v>0</v>
      </c>
      <c r="P274" s="15"/>
      <c r="Q274" s="15">
        <f t="shared" si="93"/>
        <v>0</v>
      </c>
      <c r="R274" s="15"/>
      <c r="S274" s="15">
        <f t="shared" si="94"/>
        <v>0</v>
      </c>
      <c r="T274" s="15"/>
      <c r="U274" s="15">
        <f t="shared" si="95"/>
        <v>0</v>
      </c>
      <c r="V274" s="15">
        <f t="shared" si="82"/>
        <v>0</v>
      </c>
      <c r="W274" s="17"/>
      <c r="X274" s="17"/>
      <c r="Y274" s="18">
        <v>5.2999999999999999E-2</v>
      </c>
      <c r="Z274" s="1">
        <f t="shared" si="96"/>
        <v>0</v>
      </c>
      <c r="AA274" s="21"/>
      <c r="AC274" s="21"/>
      <c r="AE274" s="19"/>
      <c r="AF274" s="20">
        <f>SUMIF('[1]G-Chart'!G:G,[1]Capacity!D274,'[1]G-Chart'!L:L)</f>
        <v>0</v>
      </c>
      <c r="AG274" s="2">
        <f t="shared" si="83"/>
        <v>0</v>
      </c>
      <c r="AH274" s="2">
        <f t="shared" si="84"/>
        <v>0</v>
      </c>
      <c r="AI274" s="2">
        <f t="shared" si="97"/>
        <v>0</v>
      </c>
      <c r="AJ274" s="1">
        <f t="shared" si="85"/>
        <v>0</v>
      </c>
      <c r="AK274" s="1">
        <f t="shared" si="86"/>
        <v>0</v>
      </c>
      <c r="AL274" s="1">
        <f t="shared" si="87"/>
        <v>0</v>
      </c>
      <c r="AM274" s="1">
        <f t="shared" si="81"/>
        <v>0</v>
      </c>
    </row>
    <row r="275" spans="1:39" x14ac:dyDescent="0.3">
      <c r="A275" s="12">
        <v>273</v>
      </c>
      <c r="B275" s="12" t="s">
        <v>445</v>
      </c>
      <c r="C275" s="13" t="s">
        <v>666</v>
      </c>
      <c r="D275" s="13" t="s">
        <v>666</v>
      </c>
      <c r="E275" s="14"/>
      <c r="F275" s="15">
        <f>AB275</f>
        <v>0</v>
      </c>
      <c r="G275" s="16">
        <f t="shared" si="88"/>
        <v>0</v>
      </c>
      <c r="H275" s="15"/>
      <c r="I275" s="15">
        <f t="shared" si="89"/>
        <v>0</v>
      </c>
      <c r="J275" s="15"/>
      <c r="K275" s="15">
        <f t="shared" si="90"/>
        <v>0</v>
      </c>
      <c r="L275" s="15"/>
      <c r="M275" s="15">
        <f t="shared" si="91"/>
        <v>0</v>
      </c>
      <c r="N275" s="15"/>
      <c r="O275" s="15">
        <f t="shared" si="92"/>
        <v>0</v>
      </c>
      <c r="P275" s="15"/>
      <c r="Q275" s="15">
        <f t="shared" si="93"/>
        <v>0</v>
      </c>
      <c r="R275" s="15"/>
      <c r="S275" s="15">
        <f t="shared" si="94"/>
        <v>0</v>
      </c>
      <c r="T275" s="15"/>
      <c r="U275" s="15">
        <f t="shared" si="95"/>
        <v>0</v>
      </c>
      <c r="V275" s="15">
        <f t="shared" si="82"/>
        <v>0</v>
      </c>
      <c r="W275" s="17"/>
      <c r="X275" s="17"/>
      <c r="Y275" s="18">
        <v>1.4E-2</v>
      </c>
      <c r="Z275" s="1">
        <f t="shared" si="96"/>
        <v>0</v>
      </c>
      <c r="AA275" s="21"/>
      <c r="AB275" s="1">
        <f>AD275*AA275</f>
        <v>0</v>
      </c>
      <c r="AC275" s="21"/>
      <c r="AE275" s="19"/>
      <c r="AF275" s="20">
        <f>SUMIF('[1]G-Chart'!G:G,[1]Capacity!D275,'[1]G-Chart'!L:L)</f>
        <v>0</v>
      </c>
      <c r="AG275" s="2">
        <f t="shared" si="83"/>
        <v>0</v>
      </c>
      <c r="AH275" s="2">
        <f t="shared" si="84"/>
        <v>0</v>
      </c>
      <c r="AI275" s="2">
        <f t="shared" si="97"/>
        <v>0</v>
      </c>
      <c r="AJ275" s="1">
        <f t="shared" si="85"/>
        <v>0</v>
      </c>
      <c r="AK275" s="1">
        <f t="shared" si="86"/>
        <v>0</v>
      </c>
      <c r="AL275" s="1">
        <f t="shared" si="87"/>
        <v>0</v>
      </c>
      <c r="AM275" s="1">
        <f t="shared" si="81"/>
        <v>0</v>
      </c>
    </row>
    <row r="276" spans="1:39" x14ac:dyDescent="0.3">
      <c r="A276" s="12">
        <v>274</v>
      </c>
      <c r="B276" s="12" t="s">
        <v>171</v>
      </c>
      <c r="C276" s="13" t="s">
        <v>667</v>
      </c>
      <c r="D276" s="23" t="s">
        <v>668</v>
      </c>
      <c r="E276" s="14" t="s">
        <v>669</v>
      </c>
      <c r="F276" s="15">
        <f t="shared" ref="F276:F282" si="98">AB276</f>
        <v>0</v>
      </c>
      <c r="G276" s="16">
        <f t="shared" si="88"/>
        <v>1</v>
      </c>
      <c r="H276" s="15"/>
      <c r="I276" s="15">
        <f t="shared" si="89"/>
        <v>0</v>
      </c>
      <c r="J276" s="15"/>
      <c r="K276" s="15">
        <f t="shared" si="90"/>
        <v>0</v>
      </c>
      <c r="L276" s="15"/>
      <c r="M276" s="15">
        <f t="shared" si="91"/>
        <v>0</v>
      </c>
      <c r="N276" s="15"/>
      <c r="O276" s="15">
        <f t="shared" si="92"/>
        <v>0</v>
      </c>
      <c r="P276" s="15">
        <v>1</v>
      </c>
      <c r="Q276" s="15">
        <f t="shared" si="93"/>
        <v>0</v>
      </c>
      <c r="R276" s="15"/>
      <c r="S276" s="15">
        <f t="shared" si="94"/>
        <v>0</v>
      </c>
      <c r="T276" s="15">
        <v>0</v>
      </c>
      <c r="U276" s="15">
        <f t="shared" si="95"/>
        <v>0</v>
      </c>
      <c r="V276" s="15">
        <f t="shared" si="82"/>
        <v>0</v>
      </c>
      <c r="W276" s="17"/>
      <c r="X276" s="17"/>
      <c r="Y276" s="18">
        <v>0.15</v>
      </c>
      <c r="Z276" s="1">
        <f t="shared" si="96"/>
        <v>0</v>
      </c>
      <c r="AA276" s="21"/>
      <c r="AB276" s="1">
        <f t="shared" ref="AB276:AB282" si="99">AD276*AA276</f>
        <v>0</v>
      </c>
      <c r="AC276" s="21"/>
      <c r="AE276" s="19"/>
      <c r="AF276" s="20">
        <f>SUMIF('[1]G-Chart'!G:G,[1]Capacity!D276,'[1]G-Chart'!L:L)</f>
        <v>-2251</v>
      </c>
      <c r="AG276" s="2">
        <f t="shared" si="83"/>
        <v>0</v>
      </c>
      <c r="AH276" s="2">
        <f t="shared" si="84"/>
        <v>0</v>
      </c>
      <c r="AI276" s="2">
        <f t="shared" si="97"/>
        <v>0</v>
      </c>
      <c r="AJ276" s="1">
        <v>0</v>
      </c>
      <c r="AK276" s="1">
        <f t="shared" si="86"/>
        <v>0</v>
      </c>
      <c r="AL276" s="1">
        <f t="shared" si="87"/>
        <v>0</v>
      </c>
      <c r="AM276" s="1">
        <f t="shared" si="81"/>
        <v>-2251</v>
      </c>
    </row>
    <row r="277" spans="1:39" x14ac:dyDescent="0.3">
      <c r="A277" s="12">
        <v>275</v>
      </c>
      <c r="B277" s="12" t="s">
        <v>171</v>
      </c>
      <c r="C277" s="13" t="s">
        <v>670</v>
      </c>
      <c r="D277" s="13" t="s">
        <v>671</v>
      </c>
      <c r="E277" s="14" t="s">
        <v>672</v>
      </c>
      <c r="F277" s="15">
        <f t="shared" si="98"/>
        <v>1416</v>
      </c>
      <c r="G277" s="16">
        <f t="shared" si="88"/>
        <v>2</v>
      </c>
      <c r="H277" s="15"/>
      <c r="I277" s="15">
        <f t="shared" si="89"/>
        <v>0</v>
      </c>
      <c r="J277" s="15"/>
      <c r="K277" s="15">
        <f t="shared" si="90"/>
        <v>0</v>
      </c>
      <c r="L277" s="15"/>
      <c r="M277" s="15">
        <f t="shared" si="91"/>
        <v>0</v>
      </c>
      <c r="N277" s="15"/>
      <c r="O277" s="15">
        <f t="shared" si="92"/>
        <v>0</v>
      </c>
      <c r="P277" s="15">
        <v>2</v>
      </c>
      <c r="Q277" s="15">
        <f t="shared" si="93"/>
        <v>2832</v>
      </c>
      <c r="R277" s="15"/>
      <c r="S277" s="15">
        <f t="shared" si="94"/>
        <v>0</v>
      </c>
      <c r="T277" s="15"/>
      <c r="U277" s="15">
        <f t="shared" si="95"/>
        <v>0</v>
      </c>
      <c r="V277" s="15">
        <f t="shared" si="82"/>
        <v>2832</v>
      </c>
      <c r="W277" s="17"/>
      <c r="X277" s="17"/>
      <c r="Y277" s="18">
        <v>0.1</v>
      </c>
      <c r="Z277" s="1">
        <f t="shared" si="96"/>
        <v>56.64</v>
      </c>
      <c r="AA277" s="21">
        <v>2</v>
      </c>
      <c r="AB277" s="1">
        <f t="shared" si="99"/>
        <v>1416</v>
      </c>
      <c r="AC277" s="30"/>
      <c r="AD277" s="31">
        <v>708</v>
      </c>
      <c r="AE277" s="51" t="s">
        <v>673</v>
      </c>
      <c r="AF277" s="20">
        <f>SUMIF('[1]G-Chart'!G:G,[1]Capacity!D277,'[1]G-Chart'!L:L)</f>
        <v>1922</v>
      </c>
      <c r="AG277" s="2">
        <f t="shared" si="83"/>
        <v>0</v>
      </c>
      <c r="AH277" s="2">
        <f t="shared" si="84"/>
        <v>0</v>
      </c>
      <c r="AI277" s="2">
        <f t="shared" si="97"/>
        <v>0</v>
      </c>
      <c r="AJ277" s="1">
        <f t="shared" si="85"/>
        <v>3844</v>
      </c>
      <c r="AK277" s="1">
        <f t="shared" si="86"/>
        <v>0</v>
      </c>
      <c r="AL277" s="1">
        <f t="shared" si="87"/>
        <v>0</v>
      </c>
      <c r="AM277" s="1">
        <f t="shared" si="81"/>
        <v>3844</v>
      </c>
    </row>
    <row r="278" spans="1:39" x14ac:dyDescent="0.3">
      <c r="A278" s="12">
        <v>276</v>
      </c>
      <c r="B278" s="12" t="s">
        <v>171</v>
      </c>
      <c r="C278" s="13" t="s">
        <v>674</v>
      </c>
      <c r="D278" s="13" t="s">
        <v>675</v>
      </c>
      <c r="E278" s="14"/>
      <c r="F278" s="15">
        <f t="shared" si="98"/>
        <v>0</v>
      </c>
      <c r="G278" s="16">
        <f t="shared" si="88"/>
        <v>0</v>
      </c>
      <c r="H278" s="15"/>
      <c r="I278" s="15">
        <f t="shared" si="89"/>
        <v>0</v>
      </c>
      <c r="J278" s="15"/>
      <c r="K278" s="15">
        <f t="shared" si="90"/>
        <v>0</v>
      </c>
      <c r="L278" s="15"/>
      <c r="M278" s="15">
        <f t="shared" si="91"/>
        <v>0</v>
      </c>
      <c r="N278" s="15"/>
      <c r="O278" s="15">
        <f t="shared" si="92"/>
        <v>0</v>
      </c>
      <c r="P278" s="15"/>
      <c r="Q278" s="15">
        <f t="shared" si="93"/>
        <v>0</v>
      </c>
      <c r="R278" s="15"/>
      <c r="S278" s="15">
        <f t="shared" si="94"/>
        <v>0</v>
      </c>
      <c r="T278" s="15"/>
      <c r="U278" s="15">
        <f t="shared" si="95"/>
        <v>0</v>
      </c>
      <c r="V278" s="15">
        <f t="shared" si="82"/>
        <v>0</v>
      </c>
      <c r="W278" s="17"/>
      <c r="X278" s="17"/>
      <c r="Y278" s="18"/>
      <c r="Z278" s="1">
        <f t="shared" si="96"/>
        <v>0</v>
      </c>
      <c r="AA278" s="21"/>
      <c r="AB278" s="1">
        <f t="shared" si="99"/>
        <v>0</v>
      </c>
      <c r="AC278" s="21"/>
      <c r="AE278" s="19"/>
      <c r="AF278" s="20">
        <f>SUMIF('[1]G-Chart'!G:G,[1]Capacity!D278,'[1]G-Chart'!L:L)</f>
        <v>0</v>
      </c>
      <c r="AG278" s="2">
        <f t="shared" si="83"/>
        <v>0</v>
      </c>
      <c r="AH278" s="2">
        <f t="shared" si="84"/>
        <v>0</v>
      </c>
      <c r="AI278" s="2">
        <f t="shared" si="97"/>
        <v>0</v>
      </c>
      <c r="AJ278" s="1">
        <f t="shared" si="85"/>
        <v>0</v>
      </c>
      <c r="AK278" s="1">
        <f t="shared" si="86"/>
        <v>0</v>
      </c>
      <c r="AL278" s="1">
        <f t="shared" si="87"/>
        <v>0</v>
      </c>
      <c r="AM278" s="1">
        <f t="shared" si="81"/>
        <v>0</v>
      </c>
    </row>
    <row r="279" spans="1:39" x14ac:dyDescent="0.3">
      <c r="A279" s="12">
        <v>277</v>
      </c>
      <c r="B279" s="12" t="s">
        <v>171</v>
      </c>
      <c r="C279" s="13" t="s">
        <v>676</v>
      </c>
      <c r="D279" s="13" t="s">
        <v>677</v>
      </c>
      <c r="E279" s="14"/>
      <c r="F279" s="15">
        <f t="shared" si="98"/>
        <v>0</v>
      </c>
      <c r="G279" s="16">
        <f t="shared" si="88"/>
        <v>0</v>
      </c>
      <c r="H279" s="15"/>
      <c r="I279" s="15">
        <f t="shared" si="89"/>
        <v>0</v>
      </c>
      <c r="J279" s="15"/>
      <c r="K279" s="15">
        <f t="shared" si="90"/>
        <v>0</v>
      </c>
      <c r="L279" s="15"/>
      <c r="M279" s="15">
        <f t="shared" si="91"/>
        <v>0</v>
      </c>
      <c r="N279" s="15"/>
      <c r="O279" s="15">
        <f t="shared" si="92"/>
        <v>0</v>
      </c>
      <c r="P279" s="15"/>
      <c r="Q279" s="15">
        <f t="shared" si="93"/>
        <v>0</v>
      </c>
      <c r="R279" s="15"/>
      <c r="S279" s="15">
        <f t="shared" si="94"/>
        <v>0</v>
      </c>
      <c r="T279" s="15"/>
      <c r="U279" s="15">
        <f t="shared" si="95"/>
        <v>0</v>
      </c>
      <c r="V279" s="15">
        <f t="shared" si="82"/>
        <v>0</v>
      </c>
      <c r="W279" s="17"/>
      <c r="X279" s="17"/>
      <c r="Y279" s="18"/>
      <c r="Z279" s="1">
        <f t="shared" si="96"/>
        <v>0</v>
      </c>
      <c r="AA279" s="21"/>
      <c r="AB279" s="1">
        <f t="shared" si="99"/>
        <v>0</v>
      </c>
      <c r="AC279" s="21"/>
      <c r="AE279" s="19"/>
      <c r="AF279" s="20">
        <f>SUMIF('[1]G-Chart'!G:G,[1]Capacity!D279,'[1]G-Chart'!L:L)</f>
        <v>0</v>
      </c>
      <c r="AG279" s="2">
        <f t="shared" si="83"/>
        <v>0</v>
      </c>
      <c r="AH279" s="2">
        <f t="shared" si="84"/>
        <v>0</v>
      </c>
      <c r="AI279" s="2">
        <f t="shared" si="97"/>
        <v>0</v>
      </c>
      <c r="AJ279" s="1">
        <f t="shared" si="85"/>
        <v>0</v>
      </c>
      <c r="AK279" s="1">
        <f t="shared" si="86"/>
        <v>0</v>
      </c>
      <c r="AL279" s="1">
        <f t="shared" si="87"/>
        <v>0</v>
      </c>
      <c r="AM279" s="1">
        <f t="shared" ref="AM279:AM342" si="100">AF279*G279</f>
        <v>0</v>
      </c>
    </row>
    <row r="280" spans="1:39" x14ac:dyDescent="0.3">
      <c r="A280" s="12">
        <v>278</v>
      </c>
      <c r="B280" s="12" t="s">
        <v>171</v>
      </c>
      <c r="C280" s="13" t="s">
        <v>678</v>
      </c>
      <c r="D280" s="52" t="s">
        <v>679</v>
      </c>
      <c r="E280" s="14" t="s">
        <v>680</v>
      </c>
      <c r="F280" s="15">
        <f t="shared" si="98"/>
        <v>0</v>
      </c>
      <c r="G280" s="16">
        <f t="shared" si="88"/>
        <v>1</v>
      </c>
      <c r="H280" s="15"/>
      <c r="I280" s="15">
        <f t="shared" si="89"/>
        <v>0</v>
      </c>
      <c r="J280" s="15"/>
      <c r="K280" s="15">
        <f t="shared" si="90"/>
        <v>0</v>
      </c>
      <c r="L280" s="15"/>
      <c r="M280" s="15">
        <f t="shared" si="91"/>
        <v>0</v>
      </c>
      <c r="N280" s="15">
        <v>1</v>
      </c>
      <c r="O280" s="15">
        <f t="shared" si="92"/>
        <v>0</v>
      </c>
      <c r="P280" s="15"/>
      <c r="Q280" s="15">
        <f t="shared" si="93"/>
        <v>0</v>
      </c>
      <c r="R280" s="15"/>
      <c r="S280" s="15">
        <f t="shared" si="94"/>
        <v>0</v>
      </c>
      <c r="T280" s="15"/>
      <c r="U280" s="15">
        <f t="shared" si="95"/>
        <v>0</v>
      </c>
      <c r="V280" s="15">
        <f t="shared" si="82"/>
        <v>0</v>
      </c>
      <c r="W280" s="17"/>
      <c r="X280" s="17"/>
      <c r="Y280" s="18"/>
      <c r="Z280" s="1">
        <f t="shared" si="96"/>
        <v>0</v>
      </c>
      <c r="AA280" s="21"/>
      <c r="AB280" s="1">
        <f t="shared" si="99"/>
        <v>0</v>
      </c>
      <c r="AC280" s="21"/>
      <c r="AE280" s="19"/>
      <c r="AF280" s="20">
        <f>SUMIF('[1]G-Chart'!G:G,[1]Capacity!D280,'[1]G-Chart'!L:L)</f>
        <v>-4215</v>
      </c>
      <c r="AG280" s="2">
        <f t="shared" si="83"/>
        <v>0</v>
      </c>
      <c r="AH280" s="2">
        <f t="shared" si="84"/>
        <v>0</v>
      </c>
      <c r="AI280" s="2">
        <v>0</v>
      </c>
      <c r="AJ280" s="1">
        <f t="shared" si="85"/>
        <v>0</v>
      </c>
      <c r="AK280" s="1">
        <f t="shared" si="86"/>
        <v>0</v>
      </c>
      <c r="AL280" s="1">
        <f t="shared" si="87"/>
        <v>0</v>
      </c>
      <c r="AM280" s="1">
        <f t="shared" si="100"/>
        <v>-4215</v>
      </c>
    </row>
    <row r="281" spans="1:39" x14ac:dyDescent="0.3">
      <c r="A281" s="12">
        <v>279</v>
      </c>
      <c r="B281" s="12" t="s">
        <v>171</v>
      </c>
      <c r="C281" s="13" t="s">
        <v>681</v>
      </c>
      <c r="D281" s="23" t="s">
        <v>682</v>
      </c>
      <c r="E281" s="14" t="s">
        <v>683</v>
      </c>
      <c r="F281" s="15">
        <f t="shared" si="98"/>
        <v>0</v>
      </c>
      <c r="G281" s="16">
        <f t="shared" si="88"/>
        <v>1</v>
      </c>
      <c r="H281" s="15"/>
      <c r="I281" s="15">
        <f t="shared" si="89"/>
        <v>0</v>
      </c>
      <c r="J281" s="15"/>
      <c r="K281" s="15">
        <f t="shared" si="90"/>
        <v>0</v>
      </c>
      <c r="L281" s="15"/>
      <c r="M281" s="15">
        <f t="shared" si="91"/>
        <v>0</v>
      </c>
      <c r="N281" s="15"/>
      <c r="O281" s="15">
        <f t="shared" si="92"/>
        <v>0</v>
      </c>
      <c r="P281" s="15">
        <v>1</v>
      </c>
      <c r="Q281" s="15">
        <f t="shared" si="93"/>
        <v>0</v>
      </c>
      <c r="R281" s="15"/>
      <c r="S281" s="15">
        <f t="shared" si="94"/>
        <v>0</v>
      </c>
      <c r="T281" s="15"/>
      <c r="U281" s="15">
        <f t="shared" si="95"/>
        <v>0</v>
      </c>
      <c r="V281" s="15">
        <f t="shared" si="82"/>
        <v>0</v>
      </c>
      <c r="W281" s="17"/>
      <c r="X281" s="17"/>
      <c r="Y281" s="18">
        <v>6.4000000000000001E-2</v>
      </c>
      <c r="Z281" s="1">
        <f t="shared" si="96"/>
        <v>0</v>
      </c>
      <c r="AA281" s="21"/>
      <c r="AB281" s="1">
        <f t="shared" si="99"/>
        <v>0</v>
      </c>
      <c r="AC281" s="21"/>
      <c r="AE281" s="19"/>
      <c r="AF281" s="20">
        <f>SUMIF('[1]G-Chart'!G:G,[1]Capacity!D281,'[1]G-Chart'!L:L)</f>
        <v>-5073</v>
      </c>
      <c r="AG281" s="2">
        <f t="shared" si="83"/>
        <v>0</v>
      </c>
      <c r="AH281" s="2">
        <f t="shared" si="84"/>
        <v>0</v>
      </c>
      <c r="AI281" s="2">
        <f t="shared" si="97"/>
        <v>0</v>
      </c>
      <c r="AJ281" s="1">
        <v>0</v>
      </c>
      <c r="AK281" s="1">
        <f t="shared" si="86"/>
        <v>0</v>
      </c>
      <c r="AL281" s="1">
        <f t="shared" si="87"/>
        <v>0</v>
      </c>
      <c r="AM281" s="1">
        <f t="shared" si="100"/>
        <v>-5073</v>
      </c>
    </row>
    <row r="282" spans="1:39" x14ac:dyDescent="0.3">
      <c r="A282" s="12">
        <v>280</v>
      </c>
      <c r="B282" s="12" t="s">
        <v>171</v>
      </c>
      <c r="C282" s="13" t="s">
        <v>684</v>
      </c>
      <c r="D282" s="23" t="s">
        <v>685</v>
      </c>
      <c r="E282" s="14" t="s">
        <v>686</v>
      </c>
      <c r="F282" s="15">
        <f t="shared" si="98"/>
        <v>0</v>
      </c>
      <c r="G282" s="16">
        <f t="shared" si="88"/>
        <v>2</v>
      </c>
      <c r="H282" s="15"/>
      <c r="I282" s="15">
        <f t="shared" si="89"/>
        <v>0</v>
      </c>
      <c r="J282" s="15"/>
      <c r="K282" s="15">
        <f t="shared" si="90"/>
        <v>0</v>
      </c>
      <c r="L282" s="15"/>
      <c r="M282" s="15">
        <f t="shared" si="91"/>
        <v>0</v>
      </c>
      <c r="N282" s="15"/>
      <c r="O282" s="15">
        <f t="shared" si="92"/>
        <v>0</v>
      </c>
      <c r="P282" s="15"/>
      <c r="Q282" s="15">
        <f t="shared" si="93"/>
        <v>0</v>
      </c>
      <c r="R282" s="15"/>
      <c r="S282" s="15">
        <f t="shared" si="94"/>
        <v>0</v>
      </c>
      <c r="T282" s="15">
        <v>2</v>
      </c>
      <c r="U282" s="15">
        <f t="shared" si="95"/>
        <v>0</v>
      </c>
      <c r="V282" s="15">
        <f t="shared" si="82"/>
        <v>0</v>
      </c>
      <c r="W282" s="17"/>
      <c r="X282" s="17"/>
      <c r="Y282" s="18">
        <v>0.02</v>
      </c>
      <c r="Z282" s="1">
        <f t="shared" si="96"/>
        <v>0</v>
      </c>
      <c r="AA282" s="21"/>
      <c r="AB282" s="1">
        <f t="shared" si="99"/>
        <v>0</v>
      </c>
      <c r="AC282" s="21">
        <v>1200</v>
      </c>
      <c r="AE282" s="19"/>
      <c r="AF282" s="20">
        <f>SUMIF('[1]G-Chart'!G:G,[1]Capacity!D282,'[1]G-Chart'!L:L)</f>
        <v>-1193</v>
      </c>
      <c r="AG282" s="2">
        <f t="shared" si="83"/>
        <v>0</v>
      </c>
      <c r="AH282" s="2">
        <f t="shared" si="84"/>
        <v>0</v>
      </c>
      <c r="AI282" s="2">
        <f t="shared" si="97"/>
        <v>0</v>
      </c>
      <c r="AJ282" s="1">
        <f t="shared" si="85"/>
        <v>0</v>
      </c>
      <c r="AK282" s="1">
        <f t="shared" si="86"/>
        <v>0</v>
      </c>
      <c r="AL282" s="1">
        <v>0</v>
      </c>
      <c r="AM282" s="1">
        <f t="shared" si="100"/>
        <v>-2386</v>
      </c>
    </row>
    <row r="283" spans="1:39" x14ac:dyDescent="0.3">
      <c r="A283" s="12">
        <v>281</v>
      </c>
      <c r="B283" s="12" t="s">
        <v>96</v>
      </c>
      <c r="C283" s="13" t="s">
        <v>687</v>
      </c>
      <c r="D283" s="13" t="s">
        <v>687</v>
      </c>
      <c r="E283" s="14" t="s">
        <v>688</v>
      </c>
      <c r="F283" s="15">
        <v>0</v>
      </c>
      <c r="G283" s="16">
        <f t="shared" si="88"/>
        <v>2</v>
      </c>
      <c r="H283" s="15"/>
      <c r="I283" s="15">
        <f t="shared" si="89"/>
        <v>0</v>
      </c>
      <c r="J283" s="15"/>
      <c r="K283" s="15">
        <f t="shared" si="90"/>
        <v>0</v>
      </c>
      <c r="L283" s="15"/>
      <c r="M283" s="15">
        <f t="shared" si="91"/>
        <v>0</v>
      </c>
      <c r="N283" s="15">
        <v>1</v>
      </c>
      <c r="O283" s="15">
        <f t="shared" si="92"/>
        <v>0</v>
      </c>
      <c r="P283" s="15">
        <v>1</v>
      </c>
      <c r="Q283" s="15">
        <f t="shared" si="93"/>
        <v>0</v>
      </c>
      <c r="R283" s="15"/>
      <c r="S283" s="15">
        <f t="shared" si="94"/>
        <v>0</v>
      </c>
      <c r="T283" s="15"/>
      <c r="U283" s="15">
        <f t="shared" si="95"/>
        <v>0</v>
      </c>
      <c r="V283" s="15">
        <f t="shared" si="82"/>
        <v>0</v>
      </c>
      <c r="W283" s="17"/>
      <c r="X283" s="17"/>
      <c r="Y283" s="18">
        <v>0.13500000000000001</v>
      </c>
      <c r="Z283" s="1">
        <f t="shared" si="96"/>
        <v>0</v>
      </c>
      <c r="AA283" s="21"/>
      <c r="AC283" s="21"/>
      <c r="AE283" s="19"/>
      <c r="AF283" s="20">
        <f>SUMIF('[1]G-Chart'!G:G,[1]Capacity!D283,'[1]G-Chart'!L:L)</f>
        <v>0</v>
      </c>
      <c r="AG283" s="2">
        <f t="shared" si="83"/>
        <v>0</v>
      </c>
      <c r="AH283" s="2">
        <f t="shared" si="84"/>
        <v>0</v>
      </c>
      <c r="AI283" s="2">
        <f t="shared" si="97"/>
        <v>0</v>
      </c>
      <c r="AJ283" s="1">
        <f t="shared" si="85"/>
        <v>0</v>
      </c>
      <c r="AK283" s="1">
        <f t="shared" si="86"/>
        <v>0</v>
      </c>
      <c r="AL283" s="1">
        <f t="shared" si="87"/>
        <v>0</v>
      </c>
      <c r="AM283" s="1">
        <f t="shared" si="100"/>
        <v>0</v>
      </c>
    </row>
    <row r="284" spans="1:39" x14ac:dyDescent="0.3">
      <c r="A284" s="12">
        <v>282</v>
      </c>
      <c r="B284" s="12" t="s">
        <v>96</v>
      </c>
      <c r="C284" s="13" t="s">
        <v>689</v>
      </c>
      <c r="D284" s="13" t="s">
        <v>690</v>
      </c>
      <c r="E284" s="14"/>
      <c r="F284" s="15">
        <v>0</v>
      </c>
      <c r="G284" s="16">
        <f t="shared" si="88"/>
        <v>0</v>
      </c>
      <c r="H284" s="15"/>
      <c r="I284" s="15">
        <f t="shared" si="89"/>
        <v>0</v>
      </c>
      <c r="J284" s="15"/>
      <c r="K284" s="15">
        <f t="shared" si="90"/>
        <v>0</v>
      </c>
      <c r="L284" s="15"/>
      <c r="M284" s="15">
        <f t="shared" si="91"/>
        <v>0</v>
      </c>
      <c r="N284" s="15"/>
      <c r="O284" s="15">
        <f t="shared" si="92"/>
        <v>0</v>
      </c>
      <c r="P284" s="15"/>
      <c r="Q284" s="15">
        <f t="shared" si="93"/>
        <v>0</v>
      </c>
      <c r="R284" s="15"/>
      <c r="S284" s="15">
        <f t="shared" si="94"/>
        <v>0</v>
      </c>
      <c r="T284" s="15"/>
      <c r="U284" s="15">
        <f t="shared" si="95"/>
        <v>0</v>
      </c>
      <c r="V284" s="15">
        <f t="shared" si="82"/>
        <v>0</v>
      </c>
      <c r="W284" s="17"/>
      <c r="X284" s="17"/>
      <c r="Y284" s="18"/>
      <c r="Z284" s="1">
        <f t="shared" si="96"/>
        <v>0</v>
      </c>
      <c r="AA284" s="21"/>
      <c r="AC284" s="21"/>
      <c r="AE284" s="19"/>
      <c r="AF284" s="20">
        <f>SUMIF('[1]G-Chart'!G:G,[1]Capacity!D284,'[1]G-Chart'!L:L)</f>
        <v>0</v>
      </c>
      <c r="AG284" s="2">
        <f t="shared" si="83"/>
        <v>0</v>
      </c>
      <c r="AH284" s="2">
        <f t="shared" si="84"/>
        <v>0</v>
      </c>
      <c r="AI284" s="2">
        <f t="shared" si="97"/>
        <v>0</v>
      </c>
      <c r="AJ284" s="1">
        <f t="shared" si="85"/>
        <v>0</v>
      </c>
      <c r="AK284" s="1">
        <f t="shared" si="86"/>
        <v>0</v>
      </c>
      <c r="AL284" s="1">
        <f t="shared" si="87"/>
        <v>0</v>
      </c>
      <c r="AM284" s="1">
        <f t="shared" si="100"/>
        <v>0</v>
      </c>
    </row>
    <row r="285" spans="1:39" x14ac:dyDescent="0.3">
      <c r="A285" s="12">
        <v>283</v>
      </c>
      <c r="B285" s="12" t="s">
        <v>96</v>
      </c>
      <c r="C285" s="13" t="s">
        <v>691</v>
      </c>
      <c r="D285" s="13" t="s">
        <v>692</v>
      </c>
      <c r="E285" s="14"/>
      <c r="F285" s="15">
        <v>0</v>
      </c>
      <c r="G285" s="16">
        <f t="shared" si="88"/>
        <v>0</v>
      </c>
      <c r="H285" s="15"/>
      <c r="I285" s="15">
        <f t="shared" si="89"/>
        <v>0</v>
      </c>
      <c r="J285" s="15"/>
      <c r="K285" s="15">
        <f t="shared" si="90"/>
        <v>0</v>
      </c>
      <c r="L285" s="15"/>
      <c r="M285" s="15">
        <f t="shared" si="91"/>
        <v>0</v>
      </c>
      <c r="N285" s="15"/>
      <c r="O285" s="15">
        <f t="shared" si="92"/>
        <v>0</v>
      </c>
      <c r="P285" s="15"/>
      <c r="Q285" s="15">
        <f t="shared" si="93"/>
        <v>0</v>
      </c>
      <c r="R285" s="15"/>
      <c r="S285" s="15">
        <f t="shared" si="94"/>
        <v>0</v>
      </c>
      <c r="T285" s="15"/>
      <c r="U285" s="15">
        <f t="shared" si="95"/>
        <v>0</v>
      </c>
      <c r="V285" s="15">
        <f t="shared" si="82"/>
        <v>0</v>
      </c>
      <c r="W285" s="17"/>
      <c r="X285" s="17"/>
      <c r="Y285" s="18"/>
      <c r="Z285" s="1">
        <f t="shared" si="96"/>
        <v>0</v>
      </c>
      <c r="AA285" s="21"/>
      <c r="AC285" s="21"/>
      <c r="AE285" s="19"/>
      <c r="AF285" s="20">
        <f>SUMIF('[1]G-Chart'!G:G,[1]Capacity!D285,'[1]G-Chart'!L:L)</f>
        <v>0</v>
      </c>
      <c r="AG285" s="2">
        <f t="shared" si="83"/>
        <v>0</v>
      </c>
      <c r="AH285" s="2">
        <f t="shared" si="84"/>
        <v>0</v>
      </c>
      <c r="AI285" s="2">
        <f t="shared" si="97"/>
        <v>0</v>
      </c>
      <c r="AJ285" s="1">
        <f t="shared" si="85"/>
        <v>0</v>
      </c>
      <c r="AK285" s="1">
        <f t="shared" si="86"/>
        <v>0</v>
      </c>
      <c r="AL285" s="1">
        <f t="shared" si="87"/>
        <v>0</v>
      </c>
      <c r="AM285" s="1">
        <f t="shared" si="100"/>
        <v>0</v>
      </c>
    </row>
    <row r="286" spans="1:39" x14ac:dyDescent="0.3">
      <c r="A286" s="12">
        <v>284</v>
      </c>
      <c r="B286" s="12" t="s">
        <v>26</v>
      </c>
      <c r="C286" s="13" t="s">
        <v>693</v>
      </c>
      <c r="D286" s="23" t="s">
        <v>694</v>
      </c>
      <c r="E286" s="14" t="s">
        <v>695</v>
      </c>
      <c r="F286" s="15">
        <v>0</v>
      </c>
      <c r="G286" s="16">
        <f t="shared" si="88"/>
        <v>3</v>
      </c>
      <c r="H286" s="15"/>
      <c r="I286" s="15">
        <f t="shared" si="89"/>
        <v>0</v>
      </c>
      <c r="J286" s="15"/>
      <c r="K286" s="15">
        <f t="shared" si="90"/>
        <v>0</v>
      </c>
      <c r="L286" s="15"/>
      <c r="M286" s="15">
        <f t="shared" si="91"/>
        <v>0</v>
      </c>
      <c r="N286" s="15"/>
      <c r="O286" s="15">
        <f t="shared" si="92"/>
        <v>0</v>
      </c>
      <c r="P286" s="15">
        <v>3</v>
      </c>
      <c r="Q286" s="15">
        <f t="shared" si="93"/>
        <v>0</v>
      </c>
      <c r="R286" s="15"/>
      <c r="S286" s="15">
        <f t="shared" si="94"/>
        <v>0</v>
      </c>
      <c r="T286" s="15"/>
      <c r="U286" s="15">
        <f t="shared" si="95"/>
        <v>0</v>
      </c>
      <c r="V286" s="15">
        <f t="shared" si="82"/>
        <v>0</v>
      </c>
      <c r="W286" s="17"/>
      <c r="X286" s="17"/>
      <c r="Y286" s="18"/>
      <c r="Z286" s="1">
        <f t="shared" si="96"/>
        <v>0</v>
      </c>
      <c r="AA286" s="21"/>
      <c r="AC286" s="21"/>
      <c r="AE286" s="19"/>
      <c r="AF286" s="20">
        <f>SUMIF('[1]G-Chart'!G:G,[1]Capacity!D286,'[1]G-Chart'!L:L)</f>
        <v>0</v>
      </c>
      <c r="AG286" s="2">
        <f t="shared" si="83"/>
        <v>0</v>
      </c>
      <c r="AH286" s="2">
        <f t="shared" si="84"/>
        <v>0</v>
      </c>
      <c r="AI286" s="2">
        <f t="shared" si="97"/>
        <v>0</v>
      </c>
      <c r="AJ286" s="1">
        <f t="shared" si="85"/>
        <v>0</v>
      </c>
      <c r="AK286" s="1">
        <f t="shared" si="86"/>
        <v>0</v>
      </c>
      <c r="AL286" s="1">
        <f t="shared" si="87"/>
        <v>0</v>
      </c>
      <c r="AM286" s="1">
        <f t="shared" si="100"/>
        <v>0</v>
      </c>
    </row>
    <row r="287" spans="1:39" x14ac:dyDescent="0.3">
      <c r="A287" s="12">
        <v>285</v>
      </c>
      <c r="B287" s="12" t="s">
        <v>557</v>
      </c>
      <c r="C287" s="13" t="s">
        <v>696</v>
      </c>
      <c r="D287" s="13" t="s">
        <v>697</v>
      </c>
      <c r="E287" s="14" t="s">
        <v>698</v>
      </c>
      <c r="F287" s="15">
        <f t="shared" ref="F287:F293" si="101">AB287</f>
        <v>367</v>
      </c>
      <c r="G287" s="16">
        <f t="shared" si="88"/>
        <v>3</v>
      </c>
      <c r="H287" s="15"/>
      <c r="I287" s="15">
        <f t="shared" si="89"/>
        <v>0</v>
      </c>
      <c r="J287" s="15"/>
      <c r="K287" s="15">
        <f t="shared" si="90"/>
        <v>0</v>
      </c>
      <c r="L287" s="15"/>
      <c r="M287" s="15">
        <f t="shared" si="91"/>
        <v>0</v>
      </c>
      <c r="N287" s="15"/>
      <c r="O287" s="15">
        <f t="shared" si="92"/>
        <v>0</v>
      </c>
      <c r="P287" s="15"/>
      <c r="Q287" s="15">
        <f t="shared" si="93"/>
        <v>0</v>
      </c>
      <c r="R287" s="15"/>
      <c r="S287" s="15">
        <f t="shared" si="94"/>
        <v>0</v>
      </c>
      <c r="T287" s="15">
        <v>3</v>
      </c>
      <c r="U287" s="15">
        <f t="shared" si="95"/>
        <v>1101</v>
      </c>
      <c r="V287" s="15">
        <f t="shared" si="82"/>
        <v>1101</v>
      </c>
      <c r="W287" s="17"/>
      <c r="X287" s="17"/>
      <c r="Y287" s="18">
        <v>0.03</v>
      </c>
      <c r="Z287" s="1">
        <f t="shared" si="96"/>
        <v>14.68</v>
      </c>
      <c r="AA287" s="21">
        <v>1</v>
      </c>
      <c r="AB287" s="1">
        <f>$AD$221+AD289*AA287</f>
        <v>367</v>
      </c>
      <c r="AC287" s="21"/>
      <c r="AD287" s="21"/>
      <c r="AE287" s="49"/>
      <c r="AF287" s="20">
        <f>SUMIF('[1]G-Chart'!G:G,[1]Capacity!D287,'[1]G-Chart'!L:L)</f>
        <v>740</v>
      </c>
      <c r="AG287" s="2">
        <f t="shared" si="83"/>
        <v>0</v>
      </c>
      <c r="AH287" s="2">
        <f t="shared" si="84"/>
        <v>0</v>
      </c>
      <c r="AI287" s="2">
        <f t="shared" si="97"/>
        <v>0</v>
      </c>
      <c r="AJ287" s="1">
        <f t="shared" si="85"/>
        <v>0</v>
      </c>
      <c r="AK287" s="1">
        <f t="shared" si="86"/>
        <v>0</v>
      </c>
      <c r="AL287" s="1">
        <f t="shared" si="87"/>
        <v>2220</v>
      </c>
      <c r="AM287" s="1">
        <f t="shared" si="100"/>
        <v>2220</v>
      </c>
    </row>
    <row r="288" spans="1:39" x14ac:dyDescent="0.3">
      <c r="A288" s="12">
        <v>286</v>
      </c>
      <c r="B288" s="12" t="s">
        <v>557</v>
      </c>
      <c r="C288" s="13" t="s">
        <v>699</v>
      </c>
      <c r="D288" s="13" t="s">
        <v>700</v>
      </c>
      <c r="E288" s="14" t="s">
        <v>701</v>
      </c>
      <c r="F288" s="15">
        <f t="shared" si="101"/>
        <v>367</v>
      </c>
      <c r="G288" s="16">
        <f t="shared" si="88"/>
        <v>3</v>
      </c>
      <c r="H288" s="15"/>
      <c r="I288" s="15">
        <f t="shared" si="89"/>
        <v>0</v>
      </c>
      <c r="J288" s="15"/>
      <c r="K288" s="15">
        <f t="shared" si="90"/>
        <v>0</v>
      </c>
      <c r="L288" s="15"/>
      <c r="M288" s="15">
        <f t="shared" si="91"/>
        <v>0</v>
      </c>
      <c r="N288" s="15"/>
      <c r="O288" s="15">
        <f t="shared" si="92"/>
        <v>0</v>
      </c>
      <c r="P288" s="15"/>
      <c r="Q288" s="15">
        <f t="shared" si="93"/>
        <v>0</v>
      </c>
      <c r="R288" s="15"/>
      <c r="S288" s="15">
        <f t="shared" si="94"/>
        <v>0</v>
      </c>
      <c r="T288" s="15">
        <v>3</v>
      </c>
      <c r="U288" s="15">
        <f t="shared" si="95"/>
        <v>1101</v>
      </c>
      <c r="V288" s="15">
        <f t="shared" si="82"/>
        <v>1101</v>
      </c>
      <c r="W288" s="17"/>
      <c r="X288" s="17"/>
      <c r="Y288" s="18">
        <v>0.03</v>
      </c>
      <c r="Z288" s="1">
        <f t="shared" si="96"/>
        <v>14.68</v>
      </c>
      <c r="AA288" s="21">
        <v>1</v>
      </c>
      <c r="AB288" s="1">
        <f>$AD$221+AD289*AA288</f>
        <v>367</v>
      </c>
      <c r="AC288" s="21"/>
      <c r="AD288" s="21"/>
      <c r="AE288" s="49"/>
      <c r="AF288" s="20">
        <f>SUMIF('[1]G-Chart'!G:G,[1]Capacity!D288,'[1]G-Chart'!L:L)</f>
        <v>740</v>
      </c>
      <c r="AG288" s="2">
        <f t="shared" si="83"/>
        <v>0</v>
      </c>
      <c r="AH288" s="2">
        <f t="shared" si="84"/>
        <v>0</v>
      </c>
      <c r="AI288" s="2">
        <f t="shared" si="97"/>
        <v>0</v>
      </c>
      <c r="AJ288" s="1">
        <f t="shared" si="85"/>
        <v>0</v>
      </c>
      <c r="AK288" s="1">
        <f t="shared" si="86"/>
        <v>0</v>
      </c>
      <c r="AL288" s="1">
        <f t="shared" si="87"/>
        <v>2220</v>
      </c>
      <c r="AM288" s="1">
        <f t="shared" si="100"/>
        <v>2220</v>
      </c>
    </row>
    <row r="289" spans="1:39" x14ac:dyDescent="0.3">
      <c r="A289" s="12">
        <v>287</v>
      </c>
      <c r="B289" s="12" t="s">
        <v>557</v>
      </c>
      <c r="C289" s="13" t="s">
        <v>702</v>
      </c>
      <c r="D289" s="23" t="s">
        <v>703</v>
      </c>
      <c r="E289" s="14" t="s">
        <v>704</v>
      </c>
      <c r="F289" s="15">
        <f t="shared" si="101"/>
        <v>0</v>
      </c>
      <c r="G289" s="16">
        <f t="shared" si="88"/>
        <v>2</v>
      </c>
      <c r="H289" s="15"/>
      <c r="I289" s="15">
        <f t="shared" si="89"/>
        <v>0</v>
      </c>
      <c r="J289" s="15"/>
      <c r="K289" s="15">
        <f t="shared" si="90"/>
        <v>0</v>
      </c>
      <c r="L289" s="15"/>
      <c r="M289" s="15">
        <f t="shared" si="91"/>
        <v>0</v>
      </c>
      <c r="N289" s="15">
        <v>1</v>
      </c>
      <c r="O289" s="15">
        <f t="shared" si="92"/>
        <v>0</v>
      </c>
      <c r="P289" s="15"/>
      <c r="Q289" s="15">
        <f t="shared" si="93"/>
        <v>0</v>
      </c>
      <c r="R289" s="15"/>
      <c r="S289" s="15">
        <f t="shared" si="94"/>
        <v>0</v>
      </c>
      <c r="T289" s="15">
        <v>1</v>
      </c>
      <c r="U289" s="15">
        <f t="shared" si="95"/>
        <v>0</v>
      </c>
      <c r="V289" s="15">
        <f t="shared" si="82"/>
        <v>0</v>
      </c>
      <c r="W289" s="17"/>
      <c r="X289" s="17"/>
      <c r="Y289" s="18">
        <v>7.9000000000000001E-2</v>
      </c>
      <c r="Z289" s="1">
        <f t="shared" si="96"/>
        <v>0</v>
      </c>
      <c r="AA289" s="21"/>
      <c r="AB289" s="1">
        <f>$AD$289*AA289</f>
        <v>0</v>
      </c>
      <c r="AC289" s="21"/>
      <c r="AD289" s="31">
        <v>110</v>
      </c>
      <c r="AE289" s="32" t="s">
        <v>705</v>
      </c>
      <c r="AF289" s="20">
        <f>SUMIF('[1]G-Chart'!G:G,[1]Capacity!D289,'[1]G-Chart'!L:L)</f>
        <v>0</v>
      </c>
      <c r="AG289" s="2">
        <f t="shared" si="83"/>
        <v>0</v>
      </c>
      <c r="AH289" s="2">
        <f t="shared" si="84"/>
        <v>0</v>
      </c>
      <c r="AI289" s="2">
        <f t="shared" si="97"/>
        <v>0</v>
      </c>
      <c r="AJ289" s="1">
        <f t="shared" si="85"/>
        <v>0</v>
      </c>
      <c r="AK289" s="1">
        <f t="shared" si="86"/>
        <v>0</v>
      </c>
      <c r="AL289" s="1">
        <f t="shared" si="87"/>
        <v>0</v>
      </c>
      <c r="AM289" s="1">
        <f t="shared" si="100"/>
        <v>0</v>
      </c>
    </row>
    <row r="290" spans="1:39" x14ac:dyDescent="0.3">
      <c r="A290" s="12">
        <v>288</v>
      </c>
      <c r="B290" s="12" t="s">
        <v>557</v>
      </c>
      <c r="C290" s="13" t="s">
        <v>706</v>
      </c>
      <c r="D290" s="23" t="s">
        <v>707</v>
      </c>
      <c r="E290" s="14" t="s">
        <v>708</v>
      </c>
      <c r="F290" s="15">
        <f t="shared" si="101"/>
        <v>0</v>
      </c>
      <c r="G290" s="16">
        <f t="shared" si="88"/>
        <v>2</v>
      </c>
      <c r="H290" s="15"/>
      <c r="I290" s="15">
        <f t="shared" si="89"/>
        <v>0</v>
      </c>
      <c r="J290" s="15"/>
      <c r="K290" s="15">
        <f t="shared" si="90"/>
        <v>0</v>
      </c>
      <c r="L290" s="15"/>
      <c r="M290" s="15">
        <f t="shared" si="91"/>
        <v>0</v>
      </c>
      <c r="N290" s="15">
        <v>1</v>
      </c>
      <c r="O290" s="15">
        <f t="shared" si="92"/>
        <v>0</v>
      </c>
      <c r="P290" s="15"/>
      <c r="Q290" s="15">
        <f t="shared" si="93"/>
        <v>0</v>
      </c>
      <c r="R290" s="15"/>
      <c r="S290" s="15">
        <f t="shared" si="94"/>
        <v>0</v>
      </c>
      <c r="T290" s="15">
        <v>1</v>
      </c>
      <c r="U290" s="15">
        <f t="shared" si="95"/>
        <v>0</v>
      </c>
      <c r="V290" s="15">
        <f t="shared" si="82"/>
        <v>0</v>
      </c>
      <c r="W290" s="17"/>
      <c r="X290" s="17"/>
      <c r="Y290" s="18">
        <v>6.6000000000000003E-2</v>
      </c>
      <c r="Z290" s="1">
        <f t="shared" si="96"/>
        <v>0</v>
      </c>
      <c r="AA290" s="21">
        <v>2</v>
      </c>
      <c r="AB290" s="1">
        <v>0</v>
      </c>
      <c r="AC290" s="21"/>
      <c r="AD290" s="21"/>
      <c r="AE290" s="49"/>
      <c r="AF290" s="20">
        <f>SUMIF('[1]G-Chart'!G:G,[1]Capacity!D290,'[1]G-Chart'!L:L)</f>
        <v>392</v>
      </c>
      <c r="AG290" s="2">
        <f t="shared" si="83"/>
        <v>0</v>
      </c>
      <c r="AH290" s="2">
        <f t="shared" si="84"/>
        <v>0</v>
      </c>
      <c r="AI290" s="2">
        <f t="shared" si="97"/>
        <v>392</v>
      </c>
      <c r="AJ290" s="1">
        <f t="shared" si="85"/>
        <v>0</v>
      </c>
      <c r="AK290" s="1">
        <f t="shared" si="86"/>
        <v>0</v>
      </c>
      <c r="AL290" s="1">
        <f t="shared" si="87"/>
        <v>392</v>
      </c>
      <c r="AM290" s="1">
        <f t="shared" si="100"/>
        <v>784</v>
      </c>
    </row>
    <row r="291" spans="1:39" x14ac:dyDescent="0.3">
      <c r="A291" s="12">
        <v>289</v>
      </c>
      <c r="B291" s="12" t="s">
        <v>557</v>
      </c>
      <c r="C291" s="13" t="s">
        <v>709</v>
      </c>
      <c r="D291" s="23" t="s">
        <v>710</v>
      </c>
      <c r="E291" s="14" t="s">
        <v>711</v>
      </c>
      <c r="F291" s="15">
        <f t="shared" si="101"/>
        <v>0</v>
      </c>
      <c r="G291" s="16">
        <f t="shared" si="88"/>
        <v>2</v>
      </c>
      <c r="H291" s="15"/>
      <c r="I291" s="15">
        <f t="shared" si="89"/>
        <v>0</v>
      </c>
      <c r="J291" s="15"/>
      <c r="K291" s="15">
        <f t="shared" si="90"/>
        <v>0</v>
      </c>
      <c r="L291" s="15"/>
      <c r="M291" s="15">
        <f t="shared" si="91"/>
        <v>0</v>
      </c>
      <c r="N291" s="15">
        <v>1</v>
      </c>
      <c r="O291" s="15">
        <f t="shared" si="92"/>
        <v>0</v>
      </c>
      <c r="P291" s="15"/>
      <c r="Q291" s="15">
        <f t="shared" si="93"/>
        <v>0</v>
      </c>
      <c r="R291" s="15"/>
      <c r="S291" s="15">
        <f t="shared" si="94"/>
        <v>0</v>
      </c>
      <c r="T291" s="15">
        <v>1</v>
      </c>
      <c r="U291" s="15">
        <f t="shared" si="95"/>
        <v>0</v>
      </c>
      <c r="V291" s="15">
        <f t="shared" si="82"/>
        <v>0</v>
      </c>
      <c r="W291" s="17"/>
      <c r="X291" s="17"/>
      <c r="Y291" s="18">
        <v>7.5999999999999998E-2</v>
      </c>
      <c r="Z291" s="1">
        <f t="shared" si="96"/>
        <v>0</v>
      </c>
      <c r="AA291" s="21"/>
      <c r="AB291" s="1">
        <f>$AD$289*AA291</f>
        <v>0</v>
      </c>
      <c r="AC291" s="21"/>
      <c r="AD291" s="21"/>
      <c r="AE291" s="49"/>
      <c r="AF291" s="20">
        <f>SUMIF('[1]G-Chart'!G:G,[1]Capacity!D291,'[1]G-Chart'!L:L)</f>
        <v>0</v>
      </c>
      <c r="AG291" s="2">
        <f t="shared" si="83"/>
        <v>0</v>
      </c>
      <c r="AH291" s="2">
        <f t="shared" si="84"/>
        <v>0</v>
      </c>
      <c r="AI291" s="2">
        <f t="shared" si="97"/>
        <v>0</v>
      </c>
      <c r="AJ291" s="1">
        <f t="shared" si="85"/>
        <v>0</v>
      </c>
      <c r="AK291" s="1">
        <f t="shared" si="86"/>
        <v>0</v>
      </c>
      <c r="AL291" s="1">
        <f t="shared" si="87"/>
        <v>0</v>
      </c>
      <c r="AM291" s="1">
        <f t="shared" si="100"/>
        <v>0</v>
      </c>
    </row>
    <row r="292" spans="1:39" x14ac:dyDescent="0.3">
      <c r="A292" s="12">
        <v>290</v>
      </c>
      <c r="B292" s="12" t="s">
        <v>557</v>
      </c>
      <c r="C292" s="13" t="s">
        <v>712</v>
      </c>
      <c r="D292" s="23" t="s">
        <v>713</v>
      </c>
      <c r="E292" s="14" t="s">
        <v>714</v>
      </c>
      <c r="F292" s="15">
        <f t="shared" si="101"/>
        <v>0</v>
      </c>
      <c r="G292" s="16">
        <f t="shared" si="88"/>
        <v>2</v>
      </c>
      <c r="H292" s="15"/>
      <c r="I292" s="15">
        <f t="shared" si="89"/>
        <v>0</v>
      </c>
      <c r="J292" s="15"/>
      <c r="K292" s="15">
        <f t="shared" si="90"/>
        <v>0</v>
      </c>
      <c r="L292" s="15"/>
      <c r="M292" s="15">
        <f t="shared" si="91"/>
        <v>0</v>
      </c>
      <c r="N292" s="15">
        <v>1</v>
      </c>
      <c r="O292" s="15">
        <f t="shared" si="92"/>
        <v>0</v>
      </c>
      <c r="P292" s="15"/>
      <c r="Q292" s="15">
        <f t="shared" si="93"/>
        <v>0</v>
      </c>
      <c r="R292" s="15"/>
      <c r="S292" s="15">
        <f t="shared" si="94"/>
        <v>0</v>
      </c>
      <c r="T292" s="15">
        <v>1</v>
      </c>
      <c r="U292" s="15">
        <f t="shared" si="95"/>
        <v>0</v>
      </c>
      <c r="V292" s="15">
        <f t="shared" si="82"/>
        <v>0</v>
      </c>
      <c r="W292" s="17"/>
      <c r="X292" s="17"/>
      <c r="Y292" s="18">
        <v>6.7000000000000004E-2</v>
      </c>
      <c r="Z292" s="1">
        <f t="shared" si="96"/>
        <v>0</v>
      </c>
      <c r="AA292" s="21">
        <v>2</v>
      </c>
      <c r="AB292" s="1">
        <v>0</v>
      </c>
      <c r="AC292" s="21"/>
      <c r="AD292" s="21"/>
      <c r="AE292" s="49"/>
      <c r="AF292" s="20">
        <f>SUMIF('[1]G-Chart'!G:G,[1]Capacity!D292,'[1]G-Chart'!L:L)</f>
        <v>0</v>
      </c>
      <c r="AG292" s="2">
        <f t="shared" si="83"/>
        <v>0</v>
      </c>
      <c r="AH292" s="2">
        <f t="shared" si="84"/>
        <v>0</v>
      </c>
      <c r="AI292" s="2">
        <f t="shared" si="97"/>
        <v>0</v>
      </c>
      <c r="AJ292" s="1">
        <f t="shared" si="85"/>
        <v>0</v>
      </c>
      <c r="AK292" s="1">
        <f t="shared" si="86"/>
        <v>0</v>
      </c>
      <c r="AL292" s="1">
        <f t="shared" si="87"/>
        <v>0</v>
      </c>
      <c r="AM292" s="1">
        <f t="shared" si="100"/>
        <v>0</v>
      </c>
    </row>
    <row r="293" spans="1:39" x14ac:dyDescent="0.3">
      <c r="A293" s="12">
        <v>291</v>
      </c>
      <c r="B293" s="12" t="s">
        <v>557</v>
      </c>
      <c r="C293" s="13" t="s">
        <v>715</v>
      </c>
      <c r="D293" s="22" t="s">
        <v>716</v>
      </c>
      <c r="E293" s="14" t="s">
        <v>717</v>
      </c>
      <c r="F293" s="15">
        <f t="shared" si="101"/>
        <v>734</v>
      </c>
      <c r="G293" s="16">
        <f t="shared" si="88"/>
        <v>2</v>
      </c>
      <c r="H293" s="15"/>
      <c r="I293" s="15">
        <f t="shared" si="89"/>
        <v>0</v>
      </c>
      <c r="J293" s="15"/>
      <c r="K293" s="15">
        <f t="shared" si="90"/>
        <v>0</v>
      </c>
      <c r="L293" s="15"/>
      <c r="M293" s="15">
        <f t="shared" si="91"/>
        <v>0</v>
      </c>
      <c r="N293" s="15"/>
      <c r="O293" s="15">
        <f t="shared" si="92"/>
        <v>0</v>
      </c>
      <c r="P293" s="15">
        <v>2</v>
      </c>
      <c r="Q293" s="15">
        <f t="shared" si="93"/>
        <v>1468</v>
      </c>
      <c r="R293" s="15"/>
      <c r="S293" s="15">
        <f t="shared" si="94"/>
        <v>0</v>
      </c>
      <c r="T293" s="15"/>
      <c r="U293" s="15">
        <f t="shared" si="95"/>
        <v>0</v>
      </c>
      <c r="V293" s="15">
        <f t="shared" si="82"/>
        <v>1468</v>
      </c>
      <c r="W293" s="17"/>
      <c r="X293" s="17"/>
      <c r="Y293" s="18">
        <v>3.3000000000000002E-2</v>
      </c>
      <c r="Z293" s="1">
        <f t="shared" si="96"/>
        <v>29.36</v>
      </c>
      <c r="AA293" s="21">
        <v>2</v>
      </c>
      <c r="AB293" s="1">
        <f>(AD221+AD289)*AA293</f>
        <v>734</v>
      </c>
      <c r="AC293" s="21"/>
      <c r="AD293" s="21"/>
      <c r="AE293" s="49"/>
      <c r="AF293" s="20">
        <f>SUMIF('[1]G-Chart'!G:G,[1]Capacity!D293,'[1]G-Chart'!L:L)</f>
        <v>3545</v>
      </c>
      <c r="AG293" s="2">
        <f t="shared" si="83"/>
        <v>0</v>
      </c>
      <c r="AH293" s="2">
        <f t="shared" si="84"/>
        <v>0</v>
      </c>
      <c r="AI293" s="2">
        <f t="shared" si="97"/>
        <v>0</v>
      </c>
      <c r="AJ293" s="1">
        <f t="shared" si="85"/>
        <v>7090</v>
      </c>
      <c r="AK293" s="1">
        <f t="shared" si="86"/>
        <v>0</v>
      </c>
      <c r="AL293" s="1">
        <f t="shared" si="87"/>
        <v>0</v>
      </c>
      <c r="AM293" s="1">
        <f t="shared" si="100"/>
        <v>7090</v>
      </c>
    </row>
    <row r="294" spans="1:39" x14ac:dyDescent="0.3">
      <c r="A294" s="12">
        <v>292</v>
      </c>
      <c r="B294" s="12" t="s">
        <v>445</v>
      </c>
      <c r="C294" s="13" t="s">
        <v>718</v>
      </c>
      <c r="D294" s="13" t="s">
        <v>719</v>
      </c>
      <c r="E294" s="14"/>
      <c r="F294" s="15">
        <f>AB294</f>
        <v>0</v>
      </c>
      <c r="G294" s="16">
        <f t="shared" si="88"/>
        <v>0</v>
      </c>
      <c r="H294" s="15"/>
      <c r="I294" s="15">
        <f t="shared" si="89"/>
        <v>0</v>
      </c>
      <c r="J294" s="15"/>
      <c r="K294" s="15">
        <f t="shared" si="90"/>
        <v>0</v>
      </c>
      <c r="L294" s="15"/>
      <c r="M294" s="15">
        <f t="shared" si="91"/>
        <v>0</v>
      </c>
      <c r="N294" s="15"/>
      <c r="O294" s="15">
        <f t="shared" si="92"/>
        <v>0</v>
      </c>
      <c r="P294" s="15"/>
      <c r="Q294" s="15">
        <f t="shared" si="93"/>
        <v>0</v>
      </c>
      <c r="R294" s="15"/>
      <c r="S294" s="15">
        <f t="shared" si="94"/>
        <v>0</v>
      </c>
      <c r="T294" s="15"/>
      <c r="U294" s="15">
        <f t="shared" si="95"/>
        <v>0</v>
      </c>
      <c r="V294" s="15">
        <f t="shared" si="82"/>
        <v>0</v>
      </c>
      <c r="W294" s="17"/>
      <c r="X294" s="17"/>
      <c r="Y294" s="18">
        <v>0.16700000000000001</v>
      </c>
      <c r="Z294" s="1">
        <f t="shared" si="96"/>
        <v>0</v>
      </c>
      <c r="AA294" s="21"/>
      <c r="AB294" s="1">
        <f>AD294*AA294</f>
        <v>0</v>
      </c>
      <c r="AC294" s="21"/>
      <c r="AE294" s="19"/>
      <c r="AF294" s="20">
        <f>SUMIF('[1]G-Chart'!G:G,[1]Capacity!D294,'[1]G-Chart'!L:L)</f>
        <v>466</v>
      </c>
      <c r="AG294" s="2">
        <f t="shared" si="83"/>
        <v>0</v>
      </c>
      <c r="AH294" s="2">
        <f t="shared" si="84"/>
        <v>0</v>
      </c>
      <c r="AI294" s="2">
        <f t="shared" si="97"/>
        <v>0</v>
      </c>
      <c r="AJ294" s="1">
        <f t="shared" si="85"/>
        <v>0</v>
      </c>
      <c r="AK294" s="1">
        <f t="shared" si="86"/>
        <v>0</v>
      </c>
      <c r="AL294" s="1">
        <f t="shared" si="87"/>
        <v>0</v>
      </c>
      <c r="AM294" s="1">
        <f t="shared" si="100"/>
        <v>0</v>
      </c>
    </row>
    <row r="295" spans="1:39" x14ac:dyDescent="0.3">
      <c r="A295" s="12">
        <v>293</v>
      </c>
      <c r="B295" s="12" t="s">
        <v>259</v>
      </c>
      <c r="C295" s="13" t="s">
        <v>720</v>
      </c>
      <c r="D295" s="13" t="s">
        <v>721</v>
      </c>
      <c r="E295" s="14"/>
      <c r="F295" s="15">
        <v>0</v>
      </c>
      <c r="G295" s="16">
        <f t="shared" si="88"/>
        <v>0</v>
      </c>
      <c r="H295" s="15"/>
      <c r="I295" s="15">
        <f t="shared" si="89"/>
        <v>0</v>
      </c>
      <c r="J295" s="15"/>
      <c r="K295" s="15">
        <f t="shared" si="90"/>
        <v>0</v>
      </c>
      <c r="L295" s="15"/>
      <c r="M295" s="15">
        <f t="shared" si="91"/>
        <v>0</v>
      </c>
      <c r="N295" s="15"/>
      <c r="O295" s="15">
        <f t="shared" si="92"/>
        <v>0</v>
      </c>
      <c r="P295" s="15"/>
      <c r="Q295" s="15">
        <f t="shared" si="93"/>
        <v>0</v>
      </c>
      <c r="R295" s="15"/>
      <c r="S295" s="15">
        <f t="shared" si="94"/>
        <v>0</v>
      </c>
      <c r="T295" s="15"/>
      <c r="U295" s="15">
        <f t="shared" si="95"/>
        <v>0</v>
      </c>
      <c r="V295" s="15">
        <f t="shared" si="82"/>
        <v>0</v>
      </c>
      <c r="W295" s="17"/>
      <c r="X295" s="17"/>
      <c r="Y295" s="18">
        <v>0.17799999999999999</v>
      </c>
      <c r="Z295" s="1">
        <f t="shared" si="96"/>
        <v>0</v>
      </c>
      <c r="AA295" s="21"/>
      <c r="AC295" s="21"/>
      <c r="AE295" s="19"/>
      <c r="AF295" s="20">
        <f>SUMIF('[1]G-Chart'!G:G,[1]Capacity!D295,'[1]G-Chart'!L:L)</f>
        <v>0</v>
      </c>
      <c r="AG295" s="2">
        <f t="shared" si="83"/>
        <v>0</v>
      </c>
      <c r="AH295" s="2">
        <f t="shared" si="84"/>
        <v>0</v>
      </c>
      <c r="AI295" s="2">
        <f t="shared" si="97"/>
        <v>0</v>
      </c>
      <c r="AJ295" s="1">
        <f t="shared" si="85"/>
        <v>0</v>
      </c>
      <c r="AK295" s="1">
        <f t="shared" si="86"/>
        <v>0</v>
      </c>
      <c r="AL295" s="1">
        <f t="shared" si="87"/>
        <v>0</v>
      </c>
      <c r="AM295" s="1">
        <f t="shared" si="100"/>
        <v>0</v>
      </c>
    </row>
    <row r="296" spans="1:39" x14ac:dyDescent="0.3">
      <c r="A296" s="12">
        <v>294</v>
      </c>
      <c r="B296" s="12" t="s">
        <v>259</v>
      </c>
      <c r="C296" s="13" t="s">
        <v>722</v>
      </c>
      <c r="D296" s="13" t="s">
        <v>722</v>
      </c>
      <c r="E296" s="14"/>
      <c r="F296" s="15">
        <v>0</v>
      </c>
      <c r="G296" s="16">
        <f t="shared" si="88"/>
        <v>0</v>
      </c>
      <c r="H296" s="15"/>
      <c r="I296" s="15">
        <f t="shared" si="89"/>
        <v>0</v>
      </c>
      <c r="J296" s="15"/>
      <c r="K296" s="15">
        <f t="shared" si="90"/>
        <v>0</v>
      </c>
      <c r="L296" s="15"/>
      <c r="M296" s="15">
        <f t="shared" si="91"/>
        <v>0</v>
      </c>
      <c r="N296" s="15"/>
      <c r="O296" s="15">
        <f t="shared" si="92"/>
        <v>0</v>
      </c>
      <c r="P296" s="15"/>
      <c r="Q296" s="15">
        <f t="shared" si="93"/>
        <v>0</v>
      </c>
      <c r="R296" s="15"/>
      <c r="S296" s="15">
        <f t="shared" si="94"/>
        <v>0</v>
      </c>
      <c r="T296" s="15"/>
      <c r="U296" s="15">
        <f t="shared" si="95"/>
        <v>0</v>
      </c>
      <c r="V296" s="15">
        <f t="shared" si="82"/>
        <v>0</v>
      </c>
      <c r="W296" s="17"/>
      <c r="X296" s="17"/>
      <c r="Y296" s="18">
        <v>8.2000000000000003E-2</v>
      </c>
      <c r="Z296" s="1">
        <f t="shared" si="96"/>
        <v>0</v>
      </c>
      <c r="AA296" s="21"/>
      <c r="AC296" s="21"/>
      <c r="AE296" s="19"/>
      <c r="AF296" s="20">
        <f>SUMIF('[1]G-Chart'!G:G,[1]Capacity!D296,'[1]G-Chart'!L:L)</f>
        <v>89</v>
      </c>
      <c r="AG296" s="2">
        <f t="shared" si="83"/>
        <v>0</v>
      </c>
      <c r="AH296" s="2">
        <f t="shared" si="84"/>
        <v>0</v>
      </c>
      <c r="AI296" s="2">
        <f t="shared" si="97"/>
        <v>0</v>
      </c>
      <c r="AJ296" s="1">
        <f t="shared" si="85"/>
        <v>0</v>
      </c>
      <c r="AK296" s="1">
        <f t="shared" si="86"/>
        <v>0</v>
      </c>
      <c r="AL296" s="1">
        <f t="shared" si="87"/>
        <v>0</v>
      </c>
      <c r="AM296" s="1">
        <f t="shared" si="100"/>
        <v>0</v>
      </c>
    </row>
    <row r="297" spans="1:39" x14ac:dyDescent="0.3">
      <c r="A297" s="12">
        <v>295</v>
      </c>
      <c r="B297" s="12" t="s">
        <v>445</v>
      </c>
      <c r="C297" s="13" t="s">
        <v>723</v>
      </c>
      <c r="D297" s="13" t="s">
        <v>723</v>
      </c>
      <c r="E297" s="14"/>
      <c r="F297" s="15">
        <f>AB297</f>
        <v>0</v>
      </c>
      <c r="G297" s="16">
        <f t="shared" si="88"/>
        <v>0</v>
      </c>
      <c r="H297" s="15"/>
      <c r="I297" s="15">
        <f t="shared" si="89"/>
        <v>0</v>
      </c>
      <c r="J297" s="15"/>
      <c r="K297" s="15">
        <f t="shared" si="90"/>
        <v>0</v>
      </c>
      <c r="L297" s="15"/>
      <c r="M297" s="15">
        <f t="shared" si="91"/>
        <v>0</v>
      </c>
      <c r="N297" s="15"/>
      <c r="O297" s="15">
        <f t="shared" si="92"/>
        <v>0</v>
      </c>
      <c r="P297" s="15"/>
      <c r="Q297" s="15">
        <f t="shared" si="93"/>
        <v>0</v>
      </c>
      <c r="R297" s="15"/>
      <c r="S297" s="15">
        <f t="shared" si="94"/>
        <v>0</v>
      </c>
      <c r="T297" s="15"/>
      <c r="U297" s="15">
        <f t="shared" si="95"/>
        <v>0</v>
      </c>
      <c r="V297" s="15">
        <f t="shared" si="82"/>
        <v>0</v>
      </c>
      <c r="W297" s="17"/>
      <c r="X297" s="17"/>
      <c r="Y297" s="18">
        <v>0.372</v>
      </c>
      <c r="Z297" s="1">
        <f t="shared" si="96"/>
        <v>0</v>
      </c>
      <c r="AA297" s="21"/>
      <c r="AB297" s="1">
        <f>AD297*AA297</f>
        <v>0</v>
      </c>
      <c r="AC297" s="21"/>
      <c r="AE297" s="19"/>
      <c r="AF297" s="20">
        <f>SUMIF('[1]G-Chart'!G:G,[1]Capacity!D297,'[1]G-Chart'!L:L)</f>
        <v>3</v>
      </c>
      <c r="AG297" s="2">
        <f t="shared" si="83"/>
        <v>0</v>
      </c>
      <c r="AH297" s="2">
        <f t="shared" si="84"/>
        <v>0</v>
      </c>
      <c r="AI297" s="2">
        <f t="shared" si="97"/>
        <v>0</v>
      </c>
      <c r="AJ297" s="1">
        <f t="shared" si="85"/>
        <v>0</v>
      </c>
      <c r="AK297" s="1">
        <f t="shared" si="86"/>
        <v>0</v>
      </c>
      <c r="AL297" s="1">
        <f t="shared" si="87"/>
        <v>0</v>
      </c>
      <c r="AM297" s="1">
        <f t="shared" si="100"/>
        <v>0</v>
      </c>
    </row>
    <row r="298" spans="1:39" x14ac:dyDescent="0.3">
      <c r="A298" s="12">
        <v>296</v>
      </c>
      <c r="B298" s="12" t="s">
        <v>445</v>
      </c>
      <c r="C298" s="13" t="s">
        <v>724</v>
      </c>
      <c r="D298" s="13" t="s">
        <v>724</v>
      </c>
      <c r="E298" s="14"/>
      <c r="F298" s="15">
        <f>AB298</f>
        <v>0</v>
      </c>
      <c r="G298" s="16">
        <f t="shared" si="88"/>
        <v>0</v>
      </c>
      <c r="H298" s="15"/>
      <c r="I298" s="15">
        <f t="shared" si="89"/>
        <v>0</v>
      </c>
      <c r="J298" s="15"/>
      <c r="K298" s="15">
        <f t="shared" si="90"/>
        <v>0</v>
      </c>
      <c r="L298" s="15"/>
      <c r="M298" s="15">
        <f t="shared" si="91"/>
        <v>0</v>
      </c>
      <c r="N298" s="15"/>
      <c r="O298" s="15">
        <f t="shared" si="92"/>
        <v>0</v>
      </c>
      <c r="P298" s="15"/>
      <c r="Q298" s="15">
        <f t="shared" si="93"/>
        <v>0</v>
      </c>
      <c r="R298" s="15"/>
      <c r="S298" s="15">
        <f t="shared" si="94"/>
        <v>0</v>
      </c>
      <c r="T298" s="15"/>
      <c r="U298" s="15">
        <f t="shared" si="95"/>
        <v>0</v>
      </c>
      <c r="V298" s="15">
        <f t="shared" si="82"/>
        <v>0</v>
      </c>
      <c r="W298" s="17"/>
      <c r="X298" s="17"/>
      <c r="Y298" s="18">
        <v>3.3000000000000002E-2</v>
      </c>
      <c r="Z298" s="1">
        <f t="shared" si="96"/>
        <v>0</v>
      </c>
      <c r="AA298" s="21">
        <v>1</v>
      </c>
      <c r="AB298" s="1">
        <f>AD298*AA298</f>
        <v>0</v>
      </c>
      <c r="AC298" s="30"/>
      <c r="AD298" s="21"/>
      <c r="AE298" s="46"/>
      <c r="AF298" s="20">
        <f>SUMIF('[1]G-Chart'!G:G,[1]Capacity!D298,'[1]G-Chart'!L:L)</f>
        <v>297</v>
      </c>
      <c r="AG298" s="2">
        <f t="shared" si="83"/>
        <v>0</v>
      </c>
      <c r="AH298" s="2">
        <f t="shared" si="84"/>
        <v>0</v>
      </c>
      <c r="AI298" s="2">
        <f t="shared" si="97"/>
        <v>0</v>
      </c>
      <c r="AJ298" s="1">
        <f t="shared" si="85"/>
        <v>0</v>
      </c>
      <c r="AK298" s="1">
        <f t="shared" si="86"/>
        <v>0</v>
      </c>
      <c r="AL298" s="1">
        <f t="shared" si="87"/>
        <v>0</v>
      </c>
      <c r="AM298" s="1">
        <f t="shared" si="100"/>
        <v>0</v>
      </c>
    </row>
    <row r="299" spans="1:39" x14ac:dyDescent="0.3">
      <c r="A299" s="12">
        <v>297</v>
      </c>
      <c r="B299" s="12" t="s">
        <v>26</v>
      </c>
      <c r="C299" s="13" t="s">
        <v>725</v>
      </c>
      <c r="D299" s="13" t="s">
        <v>725</v>
      </c>
      <c r="E299" s="14" t="s">
        <v>726</v>
      </c>
      <c r="F299" s="15">
        <v>0</v>
      </c>
      <c r="G299" s="16">
        <f t="shared" si="88"/>
        <v>3</v>
      </c>
      <c r="H299" s="15"/>
      <c r="I299" s="15">
        <f t="shared" si="89"/>
        <v>0</v>
      </c>
      <c r="J299" s="15"/>
      <c r="K299" s="15">
        <f t="shared" si="90"/>
        <v>0</v>
      </c>
      <c r="L299" s="15"/>
      <c r="M299" s="15">
        <f t="shared" si="91"/>
        <v>0</v>
      </c>
      <c r="N299" s="15">
        <v>2</v>
      </c>
      <c r="O299" s="15">
        <f t="shared" si="92"/>
        <v>0</v>
      </c>
      <c r="P299" s="15">
        <v>1</v>
      </c>
      <c r="Q299" s="15">
        <f t="shared" si="93"/>
        <v>0</v>
      </c>
      <c r="R299" s="15"/>
      <c r="S299" s="15">
        <f t="shared" si="94"/>
        <v>0</v>
      </c>
      <c r="T299" s="15"/>
      <c r="U299" s="15">
        <f t="shared" si="95"/>
        <v>0</v>
      </c>
      <c r="V299" s="15">
        <f t="shared" si="82"/>
        <v>0</v>
      </c>
      <c r="W299" s="17"/>
      <c r="X299" s="17"/>
      <c r="Y299" s="18">
        <v>1.6E-2</v>
      </c>
      <c r="Z299" s="1">
        <f t="shared" si="96"/>
        <v>0</v>
      </c>
      <c r="AA299" s="21"/>
      <c r="AC299" s="21"/>
      <c r="AE299" s="19"/>
      <c r="AF299" s="20">
        <f>SUMIF('[1]G-Chart'!G:G,[1]Capacity!D299,'[1]G-Chart'!L:L)</f>
        <v>0</v>
      </c>
      <c r="AG299" s="2">
        <f t="shared" si="83"/>
        <v>0</v>
      </c>
      <c r="AH299" s="2">
        <f t="shared" si="84"/>
        <v>0</v>
      </c>
      <c r="AI299" s="2">
        <f t="shared" si="97"/>
        <v>0</v>
      </c>
      <c r="AJ299" s="1">
        <f t="shared" si="85"/>
        <v>0</v>
      </c>
      <c r="AK299" s="1">
        <f t="shared" si="86"/>
        <v>0</v>
      </c>
      <c r="AL299" s="1">
        <f t="shared" si="87"/>
        <v>0</v>
      </c>
      <c r="AM299" s="1">
        <f t="shared" si="100"/>
        <v>0</v>
      </c>
    </row>
    <row r="300" spans="1:39" x14ac:dyDescent="0.3">
      <c r="A300" s="12">
        <v>298</v>
      </c>
      <c r="B300" s="12" t="s">
        <v>26</v>
      </c>
      <c r="C300" s="13" t="s">
        <v>727</v>
      </c>
      <c r="D300" s="13" t="s">
        <v>727</v>
      </c>
      <c r="E300" s="14" t="s">
        <v>728</v>
      </c>
      <c r="F300" s="15">
        <f>AB300</f>
        <v>0</v>
      </c>
      <c r="G300" s="16">
        <f t="shared" si="88"/>
        <v>3</v>
      </c>
      <c r="H300" s="15"/>
      <c r="I300" s="15">
        <f t="shared" si="89"/>
        <v>0</v>
      </c>
      <c r="J300" s="15"/>
      <c r="K300" s="15">
        <f t="shared" si="90"/>
        <v>0</v>
      </c>
      <c r="L300" s="15"/>
      <c r="M300" s="15">
        <f t="shared" si="91"/>
        <v>0</v>
      </c>
      <c r="N300" s="15">
        <v>2</v>
      </c>
      <c r="O300" s="15">
        <f t="shared" si="92"/>
        <v>0</v>
      </c>
      <c r="P300" s="15">
        <v>1</v>
      </c>
      <c r="Q300" s="15">
        <f t="shared" si="93"/>
        <v>0</v>
      </c>
      <c r="R300" s="15"/>
      <c r="S300" s="15">
        <f t="shared" si="94"/>
        <v>0</v>
      </c>
      <c r="T300" s="15"/>
      <c r="U300" s="15">
        <f t="shared" si="95"/>
        <v>0</v>
      </c>
      <c r="V300" s="15">
        <f t="shared" si="82"/>
        <v>0</v>
      </c>
      <c r="W300" s="17"/>
      <c r="X300" s="17"/>
      <c r="Y300" s="18">
        <v>1.6E-2</v>
      </c>
      <c r="Z300" s="1">
        <f t="shared" si="96"/>
        <v>0</v>
      </c>
      <c r="AA300" s="21"/>
      <c r="AB300" s="1">
        <v>0</v>
      </c>
      <c r="AC300" s="21"/>
      <c r="AE300" s="19"/>
      <c r="AF300" s="20">
        <f>SUMIF('[1]G-Chart'!G:G,[1]Capacity!D300,'[1]G-Chart'!L:L)</f>
        <v>0</v>
      </c>
      <c r="AG300" s="2">
        <f t="shared" si="83"/>
        <v>0</v>
      </c>
      <c r="AH300" s="2">
        <f t="shared" si="84"/>
        <v>0</v>
      </c>
      <c r="AI300" s="2">
        <f t="shared" si="97"/>
        <v>0</v>
      </c>
      <c r="AJ300" s="1">
        <f t="shared" si="85"/>
        <v>0</v>
      </c>
      <c r="AK300" s="1">
        <f t="shared" si="86"/>
        <v>0</v>
      </c>
      <c r="AL300" s="1">
        <f t="shared" si="87"/>
        <v>0</v>
      </c>
      <c r="AM300" s="1">
        <f t="shared" si="100"/>
        <v>0</v>
      </c>
    </row>
    <row r="301" spans="1:39" x14ac:dyDescent="0.3">
      <c r="A301" s="12">
        <v>299</v>
      </c>
      <c r="B301" s="12" t="s">
        <v>26</v>
      </c>
      <c r="C301" s="13" t="s">
        <v>729</v>
      </c>
      <c r="D301" s="13" t="s">
        <v>730</v>
      </c>
      <c r="E301" s="14" t="s">
        <v>731</v>
      </c>
      <c r="F301" s="15">
        <v>0</v>
      </c>
      <c r="G301" s="16">
        <f t="shared" si="88"/>
        <v>3.5</v>
      </c>
      <c r="H301" s="15"/>
      <c r="I301" s="15">
        <f t="shared" si="89"/>
        <v>0</v>
      </c>
      <c r="J301" s="15"/>
      <c r="K301" s="15">
        <f t="shared" si="90"/>
        <v>0</v>
      </c>
      <c r="L301" s="15"/>
      <c r="M301" s="15">
        <f t="shared" si="91"/>
        <v>0</v>
      </c>
      <c r="N301" s="15">
        <v>2</v>
      </c>
      <c r="O301" s="15">
        <f t="shared" si="92"/>
        <v>0</v>
      </c>
      <c r="P301" s="15">
        <v>1</v>
      </c>
      <c r="Q301" s="15">
        <f t="shared" si="93"/>
        <v>0</v>
      </c>
      <c r="R301" s="15"/>
      <c r="S301" s="15">
        <f t="shared" si="94"/>
        <v>0</v>
      </c>
      <c r="T301" s="15">
        <v>0.5</v>
      </c>
      <c r="U301" s="15">
        <f t="shared" si="95"/>
        <v>0</v>
      </c>
      <c r="V301" s="15">
        <f t="shared" si="82"/>
        <v>0</v>
      </c>
      <c r="W301" s="17"/>
      <c r="X301" s="17"/>
      <c r="Y301" s="18">
        <v>7.0000000000000007E-2</v>
      </c>
      <c r="Z301" s="1">
        <f t="shared" si="96"/>
        <v>0</v>
      </c>
      <c r="AA301" s="21"/>
      <c r="AC301" s="21"/>
      <c r="AE301" s="19"/>
      <c r="AF301" s="20">
        <f>SUMIF('[1]G-Chart'!G:G,[1]Capacity!D301,'[1]G-Chart'!L:L)</f>
        <v>246</v>
      </c>
      <c r="AG301" s="2">
        <f t="shared" si="83"/>
        <v>0</v>
      </c>
      <c r="AH301" s="2">
        <f t="shared" si="84"/>
        <v>0</v>
      </c>
      <c r="AI301" s="2">
        <f t="shared" si="97"/>
        <v>492</v>
      </c>
      <c r="AJ301" s="1">
        <f t="shared" si="85"/>
        <v>246</v>
      </c>
      <c r="AK301" s="1">
        <f t="shared" si="86"/>
        <v>0</v>
      </c>
      <c r="AL301" s="1">
        <f t="shared" si="87"/>
        <v>123</v>
      </c>
      <c r="AM301" s="1">
        <f t="shared" si="100"/>
        <v>861</v>
      </c>
    </row>
    <row r="302" spans="1:39" x14ac:dyDescent="0.3">
      <c r="A302" s="12">
        <v>300</v>
      </c>
      <c r="B302" s="12" t="s">
        <v>445</v>
      </c>
      <c r="C302" s="13" t="s">
        <v>732</v>
      </c>
      <c r="D302" s="13" t="s">
        <v>732</v>
      </c>
      <c r="E302" s="14"/>
      <c r="F302" s="15">
        <f t="shared" ref="F302:F307" si="102">AB302</f>
        <v>0</v>
      </c>
      <c r="G302" s="16">
        <f t="shared" si="88"/>
        <v>0</v>
      </c>
      <c r="H302" s="15"/>
      <c r="I302" s="15">
        <f t="shared" si="89"/>
        <v>0</v>
      </c>
      <c r="J302" s="15"/>
      <c r="K302" s="15">
        <f t="shared" si="90"/>
        <v>0</v>
      </c>
      <c r="L302" s="15"/>
      <c r="M302" s="15">
        <f t="shared" si="91"/>
        <v>0</v>
      </c>
      <c r="N302" s="15"/>
      <c r="O302" s="15">
        <f t="shared" si="92"/>
        <v>0</v>
      </c>
      <c r="P302" s="15"/>
      <c r="Q302" s="15">
        <f t="shared" si="93"/>
        <v>0</v>
      </c>
      <c r="R302" s="15"/>
      <c r="S302" s="15">
        <f t="shared" si="94"/>
        <v>0</v>
      </c>
      <c r="T302" s="15"/>
      <c r="U302" s="15">
        <f t="shared" si="95"/>
        <v>0</v>
      </c>
      <c r="V302" s="15">
        <f t="shared" si="82"/>
        <v>0</v>
      </c>
      <c r="W302" s="17"/>
      <c r="X302" s="17"/>
      <c r="Y302" s="18">
        <v>7.0000000000000001E-3</v>
      </c>
      <c r="Z302" s="1">
        <f t="shared" si="96"/>
        <v>0</v>
      </c>
      <c r="AA302" s="21"/>
      <c r="AB302" s="1">
        <f t="shared" ref="AB302:AB307" si="103">AD302*AA302</f>
        <v>0</v>
      </c>
      <c r="AC302" s="21"/>
      <c r="AE302" s="19"/>
      <c r="AF302" s="20">
        <f>SUMIF('[1]G-Chart'!G:G,[1]Capacity!D302,'[1]G-Chart'!L:L)</f>
        <v>0</v>
      </c>
      <c r="AG302" s="2">
        <f t="shared" si="83"/>
        <v>0</v>
      </c>
      <c r="AH302" s="2">
        <f t="shared" si="84"/>
        <v>0</v>
      </c>
      <c r="AI302" s="2">
        <f t="shared" si="97"/>
        <v>0</v>
      </c>
      <c r="AJ302" s="1">
        <f t="shared" si="85"/>
        <v>0</v>
      </c>
      <c r="AK302" s="1">
        <f t="shared" si="86"/>
        <v>0</v>
      </c>
      <c r="AL302" s="1">
        <f t="shared" si="87"/>
        <v>0</v>
      </c>
      <c r="AM302" s="1">
        <f t="shared" si="100"/>
        <v>0</v>
      </c>
    </row>
    <row r="303" spans="1:39" x14ac:dyDescent="0.3">
      <c r="A303" s="12">
        <v>301</v>
      </c>
      <c r="B303" s="12" t="s">
        <v>445</v>
      </c>
      <c r="C303" s="13" t="s">
        <v>733</v>
      </c>
      <c r="D303" s="13" t="s">
        <v>733</v>
      </c>
      <c r="E303" s="14"/>
      <c r="F303" s="15">
        <f t="shared" si="102"/>
        <v>0</v>
      </c>
      <c r="G303" s="16">
        <f t="shared" si="88"/>
        <v>0</v>
      </c>
      <c r="H303" s="15"/>
      <c r="I303" s="15">
        <f t="shared" si="89"/>
        <v>0</v>
      </c>
      <c r="J303" s="15"/>
      <c r="K303" s="15">
        <f t="shared" si="90"/>
        <v>0</v>
      </c>
      <c r="L303" s="15"/>
      <c r="M303" s="15">
        <f t="shared" si="91"/>
        <v>0</v>
      </c>
      <c r="N303" s="15"/>
      <c r="O303" s="15">
        <f t="shared" si="92"/>
        <v>0</v>
      </c>
      <c r="P303" s="15"/>
      <c r="Q303" s="15">
        <f t="shared" si="93"/>
        <v>0</v>
      </c>
      <c r="R303" s="15"/>
      <c r="S303" s="15">
        <f t="shared" si="94"/>
        <v>0</v>
      </c>
      <c r="T303" s="15"/>
      <c r="U303" s="15">
        <f t="shared" si="95"/>
        <v>0</v>
      </c>
      <c r="V303" s="15">
        <f t="shared" si="82"/>
        <v>0</v>
      </c>
      <c r="W303" s="17"/>
      <c r="X303" s="17"/>
      <c r="Y303" s="18">
        <v>7.0000000000000001E-3</v>
      </c>
      <c r="Z303" s="1">
        <f t="shared" si="96"/>
        <v>0</v>
      </c>
      <c r="AA303" s="21"/>
      <c r="AB303" s="1">
        <f t="shared" si="103"/>
        <v>0</v>
      </c>
      <c r="AC303" s="21"/>
      <c r="AE303" s="19"/>
      <c r="AF303" s="20">
        <f>SUMIF('[1]G-Chart'!G:G,[1]Capacity!D303,'[1]G-Chart'!L:L)</f>
        <v>0</v>
      </c>
      <c r="AG303" s="2">
        <f t="shared" si="83"/>
        <v>0</v>
      </c>
      <c r="AH303" s="2">
        <f t="shared" si="84"/>
        <v>0</v>
      </c>
      <c r="AI303" s="2">
        <f t="shared" si="97"/>
        <v>0</v>
      </c>
      <c r="AJ303" s="1">
        <f t="shared" si="85"/>
        <v>0</v>
      </c>
      <c r="AK303" s="1">
        <f t="shared" si="86"/>
        <v>0</v>
      </c>
      <c r="AL303" s="1">
        <f t="shared" si="87"/>
        <v>0</v>
      </c>
      <c r="AM303" s="1">
        <f t="shared" si="100"/>
        <v>0</v>
      </c>
    </row>
    <row r="304" spans="1:39" x14ac:dyDescent="0.3">
      <c r="A304" s="12">
        <v>302</v>
      </c>
      <c r="B304" s="12" t="s">
        <v>445</v>
      </c>
      <c r="C304" s="13" t="s">
        <v>734</v>
      </c>
      <c r="D304" s="13" t="s">
        <v>734</v>
      </c>
      <c r="E304" s="14"/>
      <c r="F304" s="15">
        <f t="shared" si="102"/>
        <v>0</v>
      </c>
      <c r="G304" s="16">
        <f t="shared" si="88"/>
        <v>1</v>
      </c>
      <c r="H304" s="15"/>
      <c r="I304" s="15">
        <f t="shared" si="89"/>
        <v>0</v>
      </c>
      <c r="J304" s="15"/>
      <c r="K304" s="15">
        <f t="shared" si="90"/>
        <v>0</v>
      </c>
      <c r="L304" s="15">
        <v>1</v>
      </c>
      <c r="M304" s="15">
        <f t="shared" si="91"/>
        <v>0</v>
      </c>
      <c r="N304" s="15"/>
      <c r="O304" s="15">
        <f t="shared" si="92"/>
        <v>0</v>
      </c>
      <c r="P304" s="15"/>
      <c r="Q304" s="15">
        <f t="shared" si="93"/>
        <v>0</v>
      </c>
      <c r="R304" s="15"/>
      <c r="S304" s="15">
        <f t="shared" si="94"/>
        <v>0</v>
      </c>
      <c r="T304" s="15"/>
      <c r="U304" s="15">
        <f t="shared" si="95"/>
        <v>0</v>
      </c>
      <c r="V304" s="15">
        <f t="shared" si="82"/>
        <v>0</v>
      </c>
      <c r="W304" s="17"/>
      <c r="X304" s="17"/>
      <c r="Y304" s="18">
        <v>6.7000000000000004E-2</v>
      </c>
      <c r="Z304" s="1">
        <f t="shared" si="96"/>
        <v>0</v>
      </c>
      <c r="AA304" s="21"/>
      <c r="AB304" s="1">
        <f t="shared" si="103"/>
        <v>0</v>
      </c>
      <c r="AC304" s="21"/>
      <c r="AE304" s="19"/>
      <c r="AF304" s="20">
        <f>SUMIF('[1]G-Chart'!G:G,[1]Capacity!D304,'[1]G-Chart'!L:L)</f>
        <v>0</v>
      </c>
      <c r="AG304" s="2">
        <f t="shared" si="83"/>
        <v>0</v>
      </c>
      <c r="AH304" s="2">
        <f t="shared" si="84"/>
        <v>0</v>
      </c>
      <c r="AI304" s="2">
        <f t="shared" si="97"/>
        <v>0</v>
      </c>
      <c r="AJ304" s="1">
        <f t="shared" si="85"/>
        <v>0</v>
      </c>
      <c r="AK304" s="1">
        <f t="shared" si="86"/>
        <v>0</v>
      </c>
      <c r="AL304" s="1">
        <f t="shared" si="87"/>
        <v>0</v>
      </c>
      <c r="AM304" s="1">
        <f t="shared" si="100"/>
        <v>0</v>
      </c>
    </row>
    <row r="305" spans="1:39" x14ac:dyDescent="0.3">
      <c r="A305" s="12">
        <v>303</v>
      </c>
      <c r="B305" s="12" t="s">
        <v>445</v>
      </c>
      <c r="C305" s="13" t="s">
        <v>735</v>
      </c>
      <c r="D305" s="13" t="s">
        <v>735</v>
      </c>
      <c r="E305" s="14"/>
      <c r="F305" s="15">
        <f t="shared" si="102"/>
        <v>0</v>
      </c>
      <c r="G305" s="16">
        <f t="shared" si="88"/>
        <v>1</v>
      </c>
      <c r="H305" s="15"/>
      <c r="I305" s="15">
        <f t="shared" si="89"/>
        <v>0</v>
      </c>
      <c r="J305" s="15"/>
      <c r="K305" s="15">
        <f t="shared" si="90"/>
        <v>0</v>
      </c>
      <c r="L305" s="15">
        <v>1</v>
      </c>
      <c r="M305" s="15">
        <f t="shared" si="91"/>
        <v>0</v>
      </c>
      <c r="N305" s="15"/>
      <c r="O305" s="15">
        <f t="shared" si="92"/>
        <v>0</v>
      </c>
      <c r="P305" s="15"/>
      <c r="Q305" s="15">
        <f t="shared" si="93"/>
        <v>0</v>
      </c>
      <c r="R305" s="15"/>
      <c r="S305" s="15">
        <f t="shared" si="94"/>
        <v>0</v>
      </c>
      <c r="T305" s="15"/>
      <c r="U305" s="15">
        <f t="shared" si="95"/>
        <v>0</v>
      </c>
      <c r="V305" s="15">
        <f t="shared" si="82"/>
        <v>0</v>
      </c>
      <c r="W305" s="17"/>
      <c r="X305" s="17"/>
      <c r="Y305" s="18">
        <v>7.0000000000000007E-2</v>
      </c>
      <c r="Z305" s="1">
        <f t="shared" si="96"/>
        <v>0</v>
      </c>
      <c r="AA305" s="21"/>
      <c r="AB305" s="1">
        <f t="shared" si="103"/>
        <v>0</v>
      </c>
      <c r="AC305" s="21"/>
      <c r="AE305" s="19"/>
      <c r="AF305" s="20">
        <f>SUMIF('[1]G-Chart'!G:G,[1]Capacity!D305,'[1]G-Chart'!L:L)</f>
        <v>0</v>
      </c>
      <c r="AG305" s="2">
        <f t="shared" si="83"/>
        <v>0</v>
      </c>
      <c r="AH305" s="2">
        <f t="shared" si="84"/>
        <v>0</v>
      </c>
      <c r="AI305" s="2">
        <f t="shared" si="97"/>
        <v>0</v>
      </c>
      <c r="AJ305" s="1">
        <f t="shared" si="85"/>
        <v>0</v>
      </c>
      <c r="AK305" s="1">
        <f t="shared" si="86"/>
        <v>0</v>
      </c>
      <c r="AL305" s="1">
        <f t="shared" si="87"/>
        <v>0</v>
      </c>
      <c r="AM305" s="1">
        <f t="shared" si="100"/>
        <v>0</v>
      </c>
    </row>
    <row r="306" spans="1:39" x14ac:dyDescent="0.3">
      <c r="A306" s="12">
        <v>304</v>
      </c>
      <c r="B306" s="12" t="s">
        <v>445</v>
      </c>
      <c r="C306" s="13" t="s">
        <v>736</v>
      </c>
      <c r="D306" s="13" t="s">
        <v>736</v>
      </c>
      <c r="E306" s="14" t="s">
        <v>737</v>
      </c>
      <c r="F306" s="15">
        <f t="shared" si="102"/>
        <v>0</v>
      </c>
      <c r="G306" s="16">
        <f t="shared" si="88"/>
        <v>1.5</v>
      </c>
      <c r="H306" s="15"/>
      <c r="I306" s="15">
        <f t="shared" si="89"/>
        <v>0</v>
      </c>
      <c r="J306" s="15"/>
      <c r="K306" s="15">
        <f t="shared" si="90"/>
        <v>0</v>
      </c>
      <c r="L306" s="15"/>
      <c r="M306" s="15">
        <f t="shared" si="91"/>
        <v>0</v>
      </c>
      <c r="N306" s="15">
        <v>1.5</v>
      </c>
      <c r="O306" s="15">
        <f t="shared" si="92"/>
        <v>0</v>
      </c>
      <c r="P306" s="15"/>
      <c r="Q306" s="15">
        <f t="shared" si="93"/>
        <v>0</v>
      </c>
      <c r="R306" s="15"/>
      <c r="S306" s="15">
        <f t="shared" si="94"/>
        <v>0</v>
      </c>
      <c r="T306" s="15"/>
      <c r="U306" s="15">
        <f t="shared" si="95"/>
        <v>0</v>
      </c>
      <c r="V306" s="15">
        <f t="shared" si="82"/>
        <v>0</v>
      </c>
      <c r="W306" s="17"/>
      <c r="X306" s="17"/>
      <c r="Y306" s="18">
        <v>0.13200000000000001</v>
      </c>
      <c r="Z306" s="1">
        <f t="shared" si="96"/>
        <v>0</v>
      </c>
      <c r="AA306" s="21"/>
      <c r="AB306" s="1">
        <f t="shared" si="103"/>
        <v>0</v>
      </c>
      <c r="AC306" s="21"/>
      <c r="AE306" s="19"/>
      <c r="AF306" s="20">
        <f>SUMIF('[1]G-Chart'!G:G,[1]Capacity!D306,'[1]G-Chart'!L:L)</f>
        <v>0</v>
      </c>
      <c r="AG306" s="2">
        <f t="shared" si="83"/>
        <v>0</v>
      </c>
      <c r="AH306" s="2">
        <f t="shared" si="84"/>
        <v>0</v>
      </c>
      <c r="AI306" s="2">
        <f t="shared" si="97"/>
        <v>0</v>
      </c>
      <c r="AJ306" s="1">
        <f t="shared" si="85"/>
        <v>0</v>
      </c>
      <c r="AK306" s="1">
        <f t="shared" si="86"/>
        <v>0</v>
      </c>
      <c r="AL306" s="1">
        <f t="shared" si="87"/>
        <v>0</v>
      </c>
      <c r="AM306" s="1">
        <f t="shared" si="100"/>
        <v>0</v>
      </c>
    </row>
    <row r="307" spans="1:39" x14ac:dyDescent="0.3">
      <c r="A307" s="12">
        <v>305</v>
      </c>
      <c r="B307" s="12" t="s">
        <v>445</v>
      </c>
      <c r="C307" s="13" t="s">
        <v>738</v>
      </c>
      <c r="D307" s="13" t="s">
        <v>738</v>
      </c>
      <c r="E307" s="14" t="s">
        <v>739</v>
      </c>
      <c r="F307" s="15">
        <f t="shared" si="102"/>
        <v>0</v>
      </c>
      <c r="G307" s="16">
        <f t="shared" si="88"/>
        <v>1.5</v>
      </c>
      <c r="H307" s="15"/>
      <c r="I307" s="15">
        <f t="shared" si="89"/>
        <v>0</v>
      </c>
      <c r="J307" s="15"/>
      <c r="K307" s="15">
        <f t="shared" si="90"/>
        <v>0</v>
      </c>
      <c r="L307" s="15"/>
      <c r="M307" s="15">
        <f t="shared" si="91"/>
        <v>0</v>
      </c>
      <c r="N307" s="15">
        <v>1.5</v>
      </c>
      <c r="O307" s="15">
        <f t="shared" si="92"/>
        <v>0</v>
      </c>
      <c r="P307" s="15"/>
      <c r="Q307" s="15">
        <f t="shared" si="93"/>
        <v>0</v>
      </c>
      <c r="R307" s="15"/>
      <c r="S307" s="15">
        <f t="shared" si="94"/>
        <v>0</v>
      </c>
      <c r="T307" s="15"/>
      <c r="U307" s="15">
        <f t="shared" si="95"/>
        <v>0</v>
      </c>
      <c r="V307" s="15">
        <f t="shared" si="82"/>
        <v>0</v>
      </c>
      <c r="W307" s="17"/>
      <c r="X307" s="17"/>
      <c r="Y307" s="18">
        <v>0.13500000000000001</v>
      </c>
      <c r="Z307" s="1">
        <f t="shared" si="96"/>
        <v>0</v>
      </c>
      <c r="AA307" s="21"/>
      <c r="AB307" s="1">
        <f t="shared" si="103"/>
        <v>0</v>
      </c>
      <c r="AC307" s="21"/>
      <c r="AE307" s="19"/>
      <c r="AF307" s="20">
        <f>SUMIF('[1]G-Chart'!G:G,[1]Capacity!D307,'[1]G-Chart'!L:L)</f>
        <v>0</v>
      </c>
      <c r="AG307" s="2">
        <f t="shared" si="83"/>
        <v>0</v>
      </c>
      <c r="AH307" s="2">
        <f t="shared" si="84"/>
        <v>0</v>
      </c>
      <c r="AI307" s="2">
        <f t="shared" si="97"/>
        <v>0</v>
      </c>
      <c r="AJ307" s="1">
        <f t="shared" si="85"/>
        <v>0</v>
      </c>
      <c r="AK307" s="1">
        <f t="shared" si="86"/>
        <v>0</v>
      </c>
      <c r="AL307" s="1">
        <f t="shared" si="87"/>
        <v>0</v>
      </c>
      <c r="AM307" s="1">
        <f t="shared" si="100"/>
        <v>0</v>
      </c>
    </row>
    <row r="308" spans="1:39" x14ac:dyDescent="0.3">
      <c r="A308" s="12">
        <v>306</v>
      </c>
      <c r="B308" s="12" t="s">
        <v>259</v>
      </c>
      <c r="C308" s="13" t="s">
        <v>740</v>
      </c>
      <c r="D308" s="13" t="s">
        <v>740</v>
      </c>
      <c r="E308" s="14"/>
      <c r="F308" s="15">
        <v>0</v>
      </c>
      <c r="G308" s="16">
        <f t="shared" si="88"/>
        <v>0</v>
      </c>
      <c r="H308" s="15"/>
      <c r="I308" s="15">
        <f t="shared" si="89"/>
        <v>0</v>
      </c>
      <c r="J308" s="15"/>
      <c r="K308" s="15">
        <f t="shared" si="90"/>
        <v>0</v>
      </c>
      <c r="L308" s="15"/>
      <c r="M308" s="15">
        <f t="shared" si="91"/>
        <v>0</v>
      </c>
      <c r="N308" s="15"/>
      <c r="O308" s="15">
        <f t="shared" si="92"/>
        <v>0</v>
      </c>
      <c r="P308" s="15"/>
      <c r="Q308" s="15">
        <f t="shared" si="93"/>
        <v>0</v>
      </c>
      <c r="R308" s="15"/>
      <c r="S308" s="15">
        <f t="shared" si="94"/>
        <v>0</v>
      </c>
      <c r="T308" s="15"/>
      <c r="U308" s="15">
        <f t="shared" si="95"/>
        <v>0</v>
      </c>
      <c r="V308" s="15">
        <f t="shared" si="82"/>
        <v>0</v>
      </c>
      <c r="W308" s="17"/>
      <c r="X308" s="17"/>
      <c r="Y308" s="18">
        <v>4.5999999999999999E-2</v>
      </c>
      <c r="Z308" s="1">
        <f t="shared" si="96"/>
        <v>0</v>
      </c>
      <c r="AA308" s="21"/>
      <c r="AC308" s="21"/>
      <c r="AE308" s="19"/>
      <c r="AF308" s="20">
        <f>SUMIF('[1]G-Chart'!G:G,[1]Capacity!D308,'[1]G-Chart'!L:L)</f>
        <v>0</v>
      </c>
      <c r="AG308" s="2">
        <f t="shared" si="83"/>
        <v>0</v>
      </c>
      <c r="AH308" s="2">
        <f t="shared" si="84"/>
        <v>0</v>
      </c>
      <c r="AI308" s="2">
        <f t="shared" si="97"/>
        <v>0</v>
      </c>
      <c r="AJ308" s="1">
        <f t="shared" si="85"/>
        <v>0</v>
      </c>
      <c r="AK308" s="1">
        <f t="shared" si="86"/>
        <v>0</v>
      </c>
      <c r="AL308" s="1">
        <f t="shared" si="87"/>
        <v>0</v>
      </c>
      <c r="AM308" s="1">
        <f t="shared" si="100"/>
        <v>0</v>
      </c>
    </row>
    <row r="309" spans="1:39" x14ac:dyDescent="0.3">
      <c r="A309" s="12">
        <v>307</v>
      </c>
      <c r="B309" s="12" t="s">
        <v>259</v>
      </c>
      <c r="C309" s="13" t="s">
        <v>741</v>
      </c>
      <c r="D309" s="13" t="s">
        <v>741</v>
      </c>
      <c r="E309" s="14"/>
      <c r="F309" s="15">
        <v>0</v>
      </c>
      <c r="G309" s="16">
        <f t="shared" si="88"/>
        <v>0</v>
      </c>
      <c r="H309" s="15"/>
      <c r="I309" s="15">
        <f t="shared" si="89"/>
        <v>0</v>
      </c>
      <c r="J309" s="15"/>
      <c r="K309" s="15">
        <f t="shared" si="90"/>
        <v>0</v>
      </c>
      <c r="L309" s="15"/>
      <c r="M309" s="15">
        <f t="shared" si="91"/>
        <v>0</v>
      </c>
      <c r="N309" s="15"/>
      <c r="O309" s="15">
        <f t="shared" si="92"/>
        <v>0</v>
      </c>
      <c r="P309" s="15"/>
      <c r="Q309" s="15">
        <f t="shared" si="93"/>
        <v>0</v>
      </c>
      <c r="R309" s="15"/>
      <c r="S309" s="15">
        <f t="shared" si="94"/>
        <v>0</v>
      </c>
      <c r="T309" s="15"/>
      <c r="U309" s="15">
        <f t="shared" si="95"/>
        <v>0</v>
      </c>
      <c r="V309" s="15">
        <f t="shared" si="82"/>
        <v>0</v>
      </c>
      <c r="W309" s="17"/>
      <c r="X309" s="17"/>
      <c r="Y309" s="18">
        <v>4.5999999999999999E-2</v>
      </c>
      <c r="Z309" s="1">
        <f t="shared" si="96"/>
        <v>0</v>
      </c>
      <c r="AA309" s="21"/>
      <c r="AC309" s="21"/>
      <c r="AE309" s="19"/>
      <c r="AF309" s="20">
        <f>SUMIF('[1]G-Chart'!G:G,[1]Capacity!D309,'[1]G-Chart'!L:L)</f>
        <v>0</v>
      </c>
      <c r="AG309" s="2">
        <f t="shared" si="83"/>
        <v>0</v>
      </c>
      <c r="AH309" s="2">
        <f t="shared" si="84"/>
        <v>0</v>
      </c>
      <c r="AI309" s="2">
        <f t="shared" si="97"/>
        <v>0</v>
      </c>
      <c r="AJ309" s="1">
        <f t="shared" si="85"/>
        <v>0</v>
      </c>
      <c r="AK309" s="1">
        <f t="shared" si="86"/>
        <v>0</v>
      </c>
      <c r="AL309" s="1">
        <f t="shared" si="87"/>
        <v>0</v>
      </c>
      <c r="AM309" s="1">
        <f t="shared" si="100"/>
        <v>0</v>
      </c>
    </row>
    <row r="310" spans="1:39" x14ac:dyDescent="0.3">
      <c r="A310" s="12">
        <v>308</v>
      </c>
      <c r="B310" s="12" t="s">
        <v>445</v>
      </c>
      <c r="C310" s="13" t="s">
        <v>742</v>
      </c>
      <c r="D310" s="13" t="s">
        <v>742</v>
      </c>
      <c r="E310" s="14" t="s">
        <v>743</v>
      </c>
      <c r="F310" s="15">
        <f>AB310</f>
        <v>0</v>
      </c>
      <c r="G310" s="16">
        <f t="shared" si="88"/>
        <v>3</v>
      </c>
      <c r="H310" s="15"/>
      <c r="I310" s="15">
        <f t="shared" si="89"/>
        <v>0</v>
      </c>
      <c r="J310" s="15"/>
      <c r="K310" s="15">
        <f t="shared" si="90"/>
        <v>0</v>
      </c>
      <c r="L310" s="15"/>
      <c r="M310" s="15">
        <f t="shared" si="91"/>
        <v>0</v>
      </c>
      <c r="N310" s="15"/>
      <c r="O310" s="15">
        <f t="shared" si="92"/>
        <v>0</v>
      </c>
      <c r="P310" s="15">
        <v>3</v>
      </c>
      <c r="Q310" s="15">
        <f t="shared" si="93"/>
        <v>0</v>
      </c>
      <c r="R310" s="15"/>
      <c r="S310" s="15">
        <f t="shared" si="94"/>
        <v>0</v>
      </c>
      <c r="T310" s="15"/>
      <c r="U310" s="15">
        <f t="shared" si="95"/>
        <v>0</v>
      </c>
      <c r="V310" s="15">
        <f t="shared" ref="V310:V373" si="104">F310*G310</f>
        <v>0</v>
      </c>
      <c r="W310" s="17"/>
      <c r="X310" s="17"/>
      <c r="Y310" s="18">
        <v>7.1999999999999995E-2</v>
      </c>
      <c r="Z310" s="1">
        <f t="shared" si="96"/>
        <v>0</v>
      </c>
      <c r="AA310" s="21"/>
      <c r="AB310" s="1">
        <f>AD310*AA310</f>
        <v>0</v>
      </c>
      <c r="AC310" s="21"/>
      <c r="AE310" s="19"/>
      <c r="AF310" s="20">
        <f>SUMIF('[1]G-Chart'!G:G,[1]Capacity!D310,'[1]G-Chart'!L:L)</f>
        <v>0</v>
      </c>
      <c r="AG310" s="2">
        <f t="shared" si="83"/>
        <v>0</v>
      </c>
      <c r="AH310" s="2">
        <f t="shared" si="84"/>
        <v>0</v>
      </c>
      <c r="AI310" s="2">
        <f t="shared" si="97"/>
        <v>0</v>
      </c>
      <c r="AJ310" s="1">
        <f t="shared" si="85"/>
        <v>0</v>
      </c>
      <c r="AK310" s="1">
        <f t="shared" si="86"/>
        <v>0</v>
      </c>
      <c r="AL310" s="1">
        <f t="shared" si="87"/>
        <v>0</v>
      </c>
      <c r="AM310" s="1">
        <f t="shared" si="100"/>
        <v>0</v>
      </c>
    </row>
    <row r="311" spans="1:39" x14ac:dyDescent="0.3">
      <c r="A311" s="12">
        <v>309</v>
      </c>
      <c r="B311" s="12" t="s">
        <v>236</v>
      </c>
      <c r="C311" s="13" t="s">
        <v>744</v>
      </c>
      <c r="D311" s="13" t="s">
        <v>744</v>
      </c>
      <c r="E311" s="14"/>
      <c r="F311" s="15">
        <v>0</v>
      </c>
      <c r="G311" s="16">
        <f t="shared" si="88"/>
        <v>0</v>
      </c>
      <c r="H311" s="15"/>
      <c r="I311" s="15">
        <f t="shared" si="89"/>
        <v>0</v>
      </c>
      <c r="J311" s="15"/>
      <c r="K311" s="15">
        <f t="shared" si="90"/>
        <v>0</v>
      </c>
      <c r="L311" s="15"/>
      <c r="M311" s="15">
        <f t="shared" si="91"/>
        <v>0</v>
      </c>
      <c r="N311" s="15"/>
      <c r="O311" s="15">
        <f t="shared" si="92"/>
        <v>0</v>
      </c>
      <c r="P311" s="15"/>
      <c r="Q311" s="15">
        <f t="shared" si="93"/>
        <v>0</v>
      </c>
      <c r="R311" s="15"/>
      <c r="S311" s="15">
        <f t="shared" si="94"/>
        <v>0</v>
      </c>
      <c r="T311" s="15"/>
      <c r="U311" s="15">
        <f t="shared" si="95"/>
        <v>0</v>
      </c>
      <c r="V311" s="15">
        <f t="shared" si="104"/>
        <v>0</v>
      </c>
      <c r="W311" s="17"/>
      <c r="X311" s="17"/>
      <c r="Y311" s="18">
        <v>7.8E-2</v>
      </c>
      <c r="Z311" s="1">
        <f t="shared" si="96"/>
        <v>0</v>
      </c>
      <c r="AA311" s="21"/>
      <c r="AC311" s="21"/>
      <c r="AE311" s="19"/>
      <c r="AF311" s="20">
        <f>SUMIF('[1]G-Chart'!G:G,[1]Capacity!D311,'[1]G-Chart'!L:L)</f>
        <v>110</v>
      </c>
      <c r="AG311" s="2">
        <f t="shared" si="83"/>
        <v>0</v>
      </c>
      <c r="AH311" s="2">
        <f t="shared" si="84"/>
        <v>0</v>
      </c>
      <c r="AI311" s="2">
        <f t="shared" si="97"/>
        <v>0</v>
      </c>
      <c r="AJ311" s="1">
        <f t="shared" si="85"/>
        <v>0</v>
      </c>
      <c r="AK311" s="1">
        <f t="shared" si="86"/>
        <v>0</v>
      </c>
      <c r="AL311" s="1">
        <f t="shared" si="87"/>
        <v>0</v>
      </c>
      <c r="AM311" s="1">
        <f t="shared" si="100"/>
        <v>0</v>
      </c>
    </row>
    <row r="312" spans="1:39" x14ac:dyDescent="0.3">
      <c r="A312" s="12">
        <v>310</v>
      </c>
      <c r="B312" s="12" t="s">
        <v>236</v>
      </c>
      <c r="C312" s="13" t="s">
        <v>745</v>
      </c>
      <c r="D312" s="13" t="s">
        <v>746</v>
      </c>
      <c r="E312" s="14" t="s">
        <v>747</v>
      </c>
      <c r="F312" s="15">
        <v>0</v>
      </c>
      <c r="G312" s="16">
        <f t="shared" si="88"/>
        <v>2</v>
      </c>
      <c r="H312" s="15"/>
      <c r="I312" s="15">
        <f t="shared" si="89"/>
        <v>0</v>
      </c>
      <c r="J312" s="15"/>
      <c r="K312" s="15">
        <f t="shared" si="90"/>
        <v>0</v>
      </c>
      <c r="L312" s="15"/>
      <c r="M312" s="15">
        <f t="shared" si="91"/>
        <v>0</v>
      </c>
      <c r="N312" s="15"/>
      <c r="O312" s="15">
        <f t="shared" si="92"/>
        <v>0</v>
      </c>
      <c r="P312" s="15">
        <v>1</v>
      </c>
      <c r="Q312" s="15">
        <f t="shared" si="93"/>
        <v>0</v>
      </c>
      <c r="R312" s="15"/>
      <c r="S312" s="15">
        <f t="shared" si="94"/>
        <v>0</v>
      </c>
      <c r="T312" s="15">
        <v>1</v>
      </c>
      <c r="U312" s="15">
        <f t="shared" si="95"/>
        <v>0</v>
      </c>
      <c r="V312" s="15">
        <f t="shared" si="104"/>
        <v>0</v>
      </c>
      <c r="W312" s="17"/>
      <c r="X312" s="17"/>
      <c r="Y312" s="18">
        <v>0.121</v>
      </c>
      <c r="Z312" s="1">
        <f t="shared" si="96"/>
        <v>0</v>
      </c>
      <c r="AA312" s="21"/>
      <c r="AC312" s="21"/>
      <c r="AE312" s="19"/>
      <c r="AF312" s="20">
        <f>SUMIF('[1]G-Chart'!G:G,[1]Capacity!D312,'[1]G-Chart'!L:L)</f>
        <v>1402</v>
      </c>
      <c r="AG312" s="2">
        <f t="shared" si="83"/>
        <v>0</v>
      </c>
      <c r="AH312" s="2">
        <f t="shared" si="84"/>
        <v>0</v>
      </c>
      <c r="AI312" s="2">
        <f t="shared" si="97"/>
        <v>0</v>
      </c>
      <c r="AJ312" s="1">
        <f t="shared" si="85"/>
        <v>1402</v>
      </c>
      <c r="AK312" s="1">
        <f t="shared" si="86"/>
        <v>0</v>
      </c>
      <c r="AL312" s="1">
        <f t="shared" si="87"/>
        <v>1402</v>
      </c>
      <c r="AM312" s="1">
        <f t="shared" si="100"/>
        <v>2804</v>
      </c>
    </row>
    <row r="313" spans="1:39" x14ac:dyDescent="0.3">
      <c r="A313" s="12">
        <v>311</v>
      </c>
      <c r="B313" s="12" t="s">
        <v>236</v>
      </c>
      <c r="C313" s="13" t="s">
        <v>748</v>
      </c>
      <c r="D313" s="13" t="s">
        <v>748</v>
      </c>
      <c r="E313" s="14" t="s">
        <v>749</v>
      </c>
      <c r="F313" s="15">
        <v>0</v>
      </c>
      <c r="G313" s="16">
        <f t="shared" si="88"/>
        <v>2</v>
      </c>
      <c r="H313" s="15"/>
      <c r="I313" s="15">
        <f t="shared" si="89"/>
        <v>0</v>
      </c>
      <c r="J313" s="15"/>
      <c r="K313" s="15">
        <f t="shared" si="90"/>
        <v>0</v>
      </c>
      <c r="L313" s="15"/>
      <c r="M313" s="15">
        <f t="shared" si="91"/>
        <v>0</v>
      </c>
      <c r="N313" s="15"/>
      <c r="O313" s="15">
        <f t="shared" si="92"/>
        <v>0</v>
      </c>
      <c r="P313" s="15">
        <v>1</v>
      </c>
      <c r="Q313" s="15">
        <f t="shared" si="93"/>
        <v>0</v>
      </c>
      <c r="R313" s="15"/>
      <c r="S313" s="15">
        <f t="shared" si="94"/>
        <v>0</v>
      </c>
      <c r="T313" s="15">
        <v>1</v>
      </c>
      <c r="U313" s="15">
        <f t="shared" si="95"/>
        <v>0</v>
      </c>
      <c r="V313" s="15">
        <f t="shared" si="104"/>
        <v>0</v>
      </c>
      <c r="W313" s="17"/>
      <c r="X313" s="17"/>
      <c r="Y313" s="18">
        <v>0.121</v>
      </c>
      <c r="Z313" s="1">
        <f t="shared" si="96"/>
        <v>0</v>
      </c>
      <c r="AA313" s="21"/>
      <c r="AC313" s="21"/>
      <c r="AE313" s="19"/>
      <c r="AF313" s="20">
        <f>SUMIF('[1]G-Chart'!G:G,[1]Capacity!D313,'[1]G-Chart'!L:L)</f>
        <v>0</v>
      </c>
      <c r="AG313" s="2">
        <f t="shared" si="83"/>
        <v>0</v>
      </c>
      <c r="AH313" s="2">
        <f t="shared" si="84"/>
        <v>0</v>
      </c>
      <c r="AI313" s="2">
        <f t="shared" si="97"/>
        <v>0</v>
      </c>
      <c r="AJ313" s="1">
        <f t="shared" si="85"/>
        <v>0</v>
      </c>
      <c r="AK313" s="1">
        <f t="shared" si="86"/>
        <v>0</v>
      </c>
      <c r="AL313" s="1">
        <f t="shared" si="87"/>
        <v>0</v>
      </c>
      <c r="AM313" s="1">
        <f t="shared" si="100"/>
        <v>0</v>
      </c>
    </row>
    <row r="314" spans="1:39" x14ac:dyDescent="0.3">
      <c r="A314" s="12">
        <v>312</v>
      </c>
      <c r="B314" s="12" t="s">
        <v>445</v>
      </c>
      <c r="C314" s="13" t="s">
        <v>750</v>
      </c>
      <c r="D314" s="13" t="s">
        <v>750</v>
      </c>
      <c r="E314" s="14" t="s">
        <v>751</v>
      </c>
      <c r="F314" s="15">
        <f>AB314</f>
        <v>0</v>
      </c>
      <c r="G314" s="16">
        <f t="shared" si="88"/>
        <v>2</v>
      </c>
      <c r="H314" s="15"/>
      <c r="I314" s="15">
        <f t="shared" si="89"/>
        <v>0</v>
      </c>
      <c r="J314" s="15"/>
      <c r="K314" s="15">
        <f t="shared" si="90"/>
        <v>0</v>
      </c>
      <c r="L314" s="15"/>
      <c r="M314" s="15">
        <f t="shared" si="91"/>
        <v>0</v>
      </c>
      <c r="N314" s="15">
        <v>2</v>
      </c>
      <c r="O314" s="15">
        <f t="shared" si="92"/>
        <v>0</v>
      </c>
      <c r="P314" s="15"/>
      <c r="Q314" s="15">
        <f t="shared" si="93"/>
        <v>0</v>
      </c>
      <c r="R314" s="15"/>
      <c r="S314" s="15">
        <f t="shared" si="94"/>
        <v>0</v>
      </c>
      <c r="T314" s="15"/>
      <c r="U314" s="15">
        <f t="shared" si="95"/>
        <v>0</v>
      </c>
      <c r="V314" s="15">
        <f t="shared" si="104"/>
        <v>0</v>
      </c>
      <c r="W314" s="17"/>
      <c r="X314" s="17"/>
      <c r="Y314" s="18">
        <v>2.069</v>
      </c>
      <c r="Z314" s="1">
        <f t="shared" si="96"/>
        <v>0</v>
      </c>
      <c r="AA314" s="21"/>
      <c r="AB314" s="1">
        <f>AD314*AA314</f>
        <v>0</v>
      </c>
      <c r="AC314" s="21"/>
      <c r="AE314" s="19"/>
      <c r="AF314" s="20">
        <f>SUMIF('[1]G-Chart'!G:G,[1]Capacity!D314,'[1]G-Chart'!L:L)</f>
        <v>28</v>
      </c>
      <c r="AG314" s="2">
        <f t="shared" si="83"/>
        <v>0</v>
      </c>
      <c r="AH314" s="2">
        <f t="shared" si="84"/>
        <v>0</v>
      </c>
      <c r="AI314" s="2">
        <f t="shared" si="97"/>
        <v>56</v>
      </c>
      <c r="AJ314" s="1">
        <f t="shared" si="85"/>
        <v>0</v>
      </c>
      <c r="AK314" s="1">
        <f t="shared" si="86"/>
        <v>0</v>
      </c>
      <c r="AL314" s="1">
        <f t="shared" si="87"/>
        <v>0</v>
      </c>
      <c r="AM314" s="1">
        <f t="shared" si="100"/>
        <v>56</v>
      </c>
    </row>
    <row r="315" spans="1:39" x14ac:dyDescent="0.3">
      <c r="A315" s="12">
        <v>313</v>
      </c>
      <c r="B315" s="12" t="s">
        <v>445</v>
      </c>
      <c r="C315" s="13" t="s">
        <v>752</v>
      </c>
      <c r="D315" s="13" t="s">
        <v>752</v>
      </c>
      <c r="E315" s="14"/>
      <c r="F315" s="15">
        <f>AB315</f>
        <v>0</v>
      </c>
      <c r="G315" s="16">
        <f t="shared" si="88"/>
        <v>0</v>
      </c>
      <c r="H315" s="15"/>
      <c r="I315" s="15">
        <f t="shared" si="89"/>
        <v>0</v>
      </c>
      <c r="J315" s="15"/>
      <c r="K315" s="15">
        <f t="shared" si="90"/>
        <v>0</v>
      </c>
      <c r="L315" s="15"/>
      <c r="M315" s="15">
        <f t="shared" si="91"/>
        <v>0</v>
      </c>
      <c r="N315" s="15"/>
      <c r="O315" s="15">
        <f t="shared" si="92"/>
        <v>0</v>
      </c>
      <c r="P315" s="15"/>
      <c r="Q315" s="15">
        <f t="shared" si="93"/>
        <v>0</v>
      </c>
      <c r="R315" s="15"/>
      <c r="S315" s="15">
        <f t="shared" si="94"/>
        <v>0</v>
      </c>
      <c r="T315" s="15"/>
      <c r="U315" s="15">
        <f t="shared" si="95"/>
        <v>0</v>
      </c>
      <c r="V315" s="15">
        <f t="shared" si="104"/>
        <v>0</v>
      </c>
      <c r="W315" s="17"/>
      <c r="X315" s="17"/>
      <c r="Y315" s="18">
        <v>0.20699999999999999</v>
      </c>
      <c r="Z315" s="1">
        <f t="shared" si="96"/>
        <v>0</v>
      </c>
      <c r="AA315" s="21"/>
      <c r="AB315" s="1">
        <f>AD315*AA315</f>
        <v>0</v>
      </c>
      <c r="AC315" s="21"/>
      <c r="AE315" s="19"/>
      <c r="AF315" s="20">
        <f>SUMIF('[1]G-Chart'!G:G,[1]Capacity!D315,'[1]G-Chart'!L:L)</f>
        <v>78</v>
      </c>
      <c r="AG315" s="2">
        <f t="shared" si="83"/>
        <v>0</v>
      </c>
      <c r="AH315" s="2">
        <f t="shared" si="84"/>
        <v>0</v>
      </c>
      <c r="AI315" s="2">
        <f t="shared" si="97"/>
        <v>0</v>
      </c>
      <c r="AJ315" s="1">
        <f t="shared" si="85"/>
        <v>0</v>
      </c>
      <c r="AK315" s="1">
        <f t="shared" si="86"/>
        <v>0</v>
      </c>
      <c r="AL315" s="1">
        <f t="shared" si="87"/>
        <v>0</v>
      </c>
      <c r="AM315" s="1">
        <f t="shared" si="100"/>
        <v>0</v>
      </c>
    </row>
    <row r="316" spans="1:39" x14ac:dyDescent="0.3">
      <c r="A316" s="12">
        <v>314</v>
      </c>
      <c r="B316" s="12" t="s">
        <v>445</v>
      </c>
      <c r="C316" s="13" t="s">
        <v>753</v>
      </c>
      <c r="D316" s="13" t="s">
        <v>753</v>
      </c>
      <c r="E316" s="14" t="s">
        <v>754</v>
      </c>
      <c r="F316" s="15">
        <f>AB316</f>
        <v>0</v>
      </c>
      <c r="G316" s="16">
        <f t="shared" si="88"/>
        <v>3</v>
      </c>
      <c r="H316" s="15"/>
      <c r="I316" s="15">
        <f t="shared" si="89"/>
        <v>0</v>
      </c>
      <c r="J316" s="15"/>
      <c r="K316" s="15">
        <f t="shared" si="90"/>
        <v>0</v>
      </c>
      <c r="L316" s="15"/>
      <c r="M316" s="15">
        <f t="shared" si="91"/>
        <v>0</v>
      </c>
      <c r="N316" s="15"/>
      <c r="O316" s="15">
        <f t="shared" si="92"/>
        <v>0</v>
      </c>
      <c r="P316" s="15"/>
      <c r="Q316" s="15">
        <f t="shared" si="93"/>
        <v>0</v>
      </c>
      <c r="R316" s="15"/>
      <c r="S316" s="15">
        <f t="shared" si="94"/>
        <v>0</v>
      </c>
      <c r="T316" s="15">
        <v>3</v>
      </c>
      <c r="U316" s="15">
        <f t="shared" si="95"/>
        <v>0</v>
      </c>
      <c r="V316" s="15">
        <f t="shared" si="104"/>
        <v>0</v>
      </c>
      <c r="W316" s="17"/>
      <c r="X316" s="17"/>
      <c r="Y316" s="18">
        <v>1.7000000000000001E-2</v>
      </c>
      <c r="Z316" s="1">
        <f t="shared" si="96"/>
        <v>0</v>
      </c>
      <c r="AA316" s="21"/>
      <c r="AB316" s="1">
        <f>AD316*AA316</f>
        <v>0</v>
      </c>
      <c r="AC316" s="21"/>
      <c r="AE316" s="19"/>
      <c r="AF316" s="20">
        <f>SUMIF('[1]G-Chart'!G:G,[1]Capacity!D316,'[1]G-Chart'!L:L)</f>
        <v>0</v>
      </c>
      <c r="AG316" s="2">
        <f t="shared" si="83"/>
        <v>0</v>
      </c>
      <c r="AH316" s="2">
        <f t="shared" si="84"/>
        <v>0</v>
      </c>
      <c r="AI316" s="2">
        <f t="shared" si="97"/>
        <v>0</v>
      </c>
      <c r="AJ316" s="1">
        <f t="shared" si="85"/>
        <v>0</v>
      </c>
      <c r="AK316" s="1">
        <f t="shared" si="86"/>
        <v>0</v>
      </c>
      <c r="AL316" s="1">
        <f t="shared" si="87"/>
        <v>0</v>
      </c>
      <c r="AM316" s="1">
        <f t="shared" si="100"/>
        <v>0</v>
      </c>
    </row>
    <row r="317" spans="1:39" x14ac:dyDescent="0.3">
      <c r="A317" s="12">
        <v>315</v>
      </c>
      <c r="B317" s="24" t="s">
        <v>445</v>
      </c>
      <c r="C317" s="25" t="s">
        <v>755</v>
      </c>
      <c r="D317" s="25" t="s">
        <v>755</v>
      </c>
      <c r="E317" s="27" t="s">
        <v>756</v>
      </c>
      <c r="F317" s="28">
        <f>AB317</f>
        <v>0</v>
      </c>
      <c r="G317" s="29">
        <f t="shared" si="88"/>
        <v>3</v>
      </c>
      <c r="H317" s="15"/>
      <c r="I317" s="15">
        <f t="shared" si="89"/>
        <v>0</v>
      </c>
      <c r="J317" s="15"/>
      <c r="K317" s="15">
        <f t="shared" si="90"/>
        <v>0</v>
      </c>
      <c r="L317" s="15"/>
      <c r="M317" s="15">
        <f t="shared" si="91"/>
        <v>0</v>
      </c>
      <c r="N317" s="15"/>
      <c r="O317" s="15">
        <f t="shared" si="92"/>
        <v>0</v>
      </c>
      <c r="P317" s="15"/>
      <c r="Q317" s="15">
        <f t="shared" si="93"/>
        <v>0</v>
      </c>
      <c r="R317" s="15"/>
      <c r="S317" s="15">
        <f t="shared" si="94"/>
        <v>0</v>
      </c>
      <c r="T317" s="15">
        <v>3</v>
      </c>
      <c r="U317" s="15">
        <f t="shared" si="95"/>
        <v>0</v>
      </c>
      <c r="V317" s="15">
        <f t="shared" si="104"/>
        <v>0</v>
      </c>
      <c r="W317" s="17"/>
      <c r="X317" s="17"/>
      <c r="Y317" s="18">
        <v>1.7999999999999999E-2</v>
      </c>
      <c r="Z317" s="1">
        <f t="shared" si="96"/>
        <v>0</v>
      </c>
      <c r="AA317" s="21"/>
      <c r="AB317" s="1">
        <f>AD317*AA317</f>
        <v>0</v>
      </c>
      <c r="AC317" s="21"/>
      <c r="AE317" s="19"/>
      <c r="AF317" s="20">
        <f>SUMIF('[1]G-Chart'!G:G,[1]Capacity!D317,'[1]G-Chart'!L:L)</f>
        <v>0</v>
      </c>
      <c r="AG317" s="2">
        <f t="shared" si="83"/>
        <v>0</v>
      </c>
      <c r="AH317" s="2">
        <f t="shared" si="84"/>
        <v>0</v>
      </c>
      <c r="AI317" s="2">
        <f t="shared" si="97"/>
        <v>0</v>
      </c>
      <c r="AJ317" s="1">
        <f t="shared" si="85"/>
        <v>0</v>
      </c>
      <c r="AK317" s="1">
        <f t="shared" si="86"/>
        <v>0</v>
      </c>
      <c r="AL317" s="1">
        <f t="shared" si="87"/>
        <v>0</v>
      </c>
      <c r="AM317" s="1">
        <f t="shared" si="100"/>
        <v>0</v>
      </c>
    </row>
    <row r="318" spans="1:39" x14ac:dyDescent="0.3">
      <c r="A318" s="12">
        <v>316</v>
      </c>
      <c r="B318" s="12" t="s">
        <v>276</v>
      </c>
      <c r="C318" s="13" t="s">
        <v>757</v>
      </c>
      <c r="D318" s="13" t="s">
        <v>758</v>
      </c>
      <c r="E318" s="14" t="s">
        <v>759</v>
      </c>
      <c r="F318" s="15">
        <f>+AB318</f>
        <v>4808</v>
      </c>
      <c r="G318" s="15">
        <f t="shared" si="88"/>
        <v>3</v>
      </c>
      <c r="H318" s="15"/>
      <c r="I318" s="15">
        <f t="shared" si="89"/>
        <v>0</v>
      </c>
      <c r="J318" s="15">
        <v>1</v>
      </c>
      <c r="K318" s="15">
        <f t="shared" si="90"/>
        <v>4808</v>
      </c>
      <c r="L318" s="15">
        <v>1</v>
      </c>
      <c r="M318" s="15">
        <f t="shared" si="91"/>
        <v>4808</v>
      </c>
      <c r="N318" s="15">
        <v>1</v>
      </c>
      <c r="O318" s="15">
        <f t="shared" si="92"/>
        <v>4808</v>
      </c>
      <c r="P318" s="15"/>
      <c r="Q318" s="15">
        <f t="shared" si="93"/>
        <v>0</v>
      </c>
      <c r="R318" s="15"/>
      <c r="S318" s="15">
        <f t="shared" si="94"/>
        <v>0</v>
      </c>
      <c r="T318" s="15"/>
      <c r="U318" s="15">
        <f t="shared" si="95"/>
        <v>0</v>
      </c>
      <c r="V318" s="15">
        <f t="shared" si="104"/>
        <v>14424</v>
      </c>
      <c r="W318" s="17"/>
      <c r="X318" s="17"/>
      <c r="Y318" s="18">
        <v>3.5000000000000003E-2</v>
      </c>
      <c r="Z318" s="1">
        <f t="shared" si="96"/>
        <v>192.32</v>
      </c>
      <c r="AA318" s="21">
        <v>2</v>
      </c>
      <c r="AB318" s="1">
        <f>AA318*$AD$39</f>
        <v>4808</v>
      </c>
      <c r="AC318" s="21"/>
      <c r="AE318" s="49"/>
      <c r="AF318" s="20">
        <f>SUMIF('[1]G-Chart'!G:G,[1]Capacity!D318,'[1]G-Chart'!L:L)</f>
        <v>4242</v>
      </c>
      <c r="AG318" s="2">
        <f t="shared" si="83"/>
        <v>4242</v>
      </c>
      <c r="AH318" s="2">
        <f t="shared" si="84"/>
        <v>4242</v>
      </c>
      <c r="AI318" s="2">
        <f t="shared" si="97"/>
        <v>4242</v>
      </c>
      <c r="AJ318" s="1">
        <f t="shared" si="85"/>
        <v>0</v>
      </c>
      <c r="AK318" s="1">
        <f t="shared" si="86"/>
        <v>0</v>
      </c>
      <c r="AL318" s="1">
        <f t="shared" si="87"/>
        <v>0</v>
      </c>
      <c r="AM318" s="1">
        <f t="shared" si="100"/>
        <v>12726</v>
      </c>
    </row>
    <row r="319" spans="1:39" x14ac:dyDescent="0.3">
      <c r="A319" s="12">
        <v>317</v>
      </c>
      <c r="B319" s="12" t="s">
        <v>276</v>
      </c>
      <c r="C319" s="13" t="s">
        <v>760</v>
      </c>
      <c r="D319" s="53" t="s">
        <v>761</v>
      </c>
      <c r="E319" s="14" t="s">
        <v>762</v>
      </c>
      <c r="F319" s="15">
        <f>+AB319</f>
        <v>0</v>
      </c>
      <c r="G319" s="16">
        <f t="shared" si="88"/>
        <v>0</v>
      </c>
      <c r="H319" s="15"/>
      <c r="I319" s="15">
        <f t="shared" si="89"/>
        <v>0</v>
      </c>
      <c r="J319" s="15"/>
      <c r="K319" s="15">
        <f t="shared" si="90"/>
        <v>0</v>
      </c>
      <c r="L319" s="15"/>
      <c r="M319" s="15">
        <f t="shared" si="91"/>
        <v>0</v>
      </c>
      <c r="N319" s="15"/>
      <c r="O319" s="15">
        <f t="shared" si="92"/>
        <v>0</v>
      </c>
      <c r="P319" s="15"/>
      <c r="Q319" s="15">
        <f t="shared" si="93"/>
        <v>0</v>
      </c>
      <c r="R319" s="15"/>
      <c r="S319" s="15">
        <f t="shared" si="94"/>
        <v>0</v>
      </c>
      <c r="T319" s="15"/>
      <c r="U319" s="15">
        <f t="shared" si="95"/>
        <v>0</v>
      </c>
      <c r="V319" s="15">
        <f t="shared" si="104"/>
        <v>0</v>
      </c>
      <c r="W319" s="17"/>
      <c r="X319" s="17"/>
      <c r="Y319" s="18">
        <v>0.13500000000000001</v>
      </c>
      <c r="Z319" s="1">
        <f t="shared" si="96"/>
        <v>0</v>
      </c>
      <c r="AA319" s="21">
        <v>0</v>
      </c>
      <c r="AB319" s="1">
        <f>$AD$39*AA319</f>
        <v>0</v>
      </c>
      <c r="AC319" s="21"/>
      <c r="AE319" s="19"/>
      <c r="AF319" s="20">
        <f>SUMIF('[1]G-Chart'!G:G,[1]Capacity!D319,'[1]G-Chart'!L:L)</f>
        <v>0</v>
      </c>
      <c r="AG319" s="2">
        <f t="shared" si="83"/>
        <v>0</v>
      </c>
      <c r="AH319" s="2">
        <f t="shared" si="84"/>
        <v>0</v>
      </c>
      <c r="AI319" s="2">
        <f t="shared" si="97"/>
        <v>0</v>
      </c>
      <c r="AJ319" s="1">
        <f t="shared" si="85"/>
        <v>0</v>
      </c>
      <c r="AK319" s="1">
        <f t="shared" si="86"/>
        <v>0</v>
      </c>
      <c r="AL319" s="1">
        <f t="shared" si="87"/>
        <v>0</v>
      </c>
      <c r="AM319" s="1">
        <f t="shared" si="100"/>
        <v>0</v>
      </c>
    </row>
    <row r="320" spans="1:39" x14ac:dyDescent="0.3">
      <c r="A320" s="12">
        <v>318</v>
      </c>
      <c r="B320" s="12" t="s">
        <v>276</v>
      </c>
      <c r="C320" s="13" t="s">
        <v>763</v>
      </c>
      <c r="D320" s="23" t="s">
        <v>764</v>
      </c>
      <c r="E320" s="14" t="s">
        <v>765</v>
      </c>
      <c r="F320" s="15">
        <f>+AB320</f>
        <v>0</v>
      </c>
      <c r="G320" s="16">
        <f t="shared" si="88"/>
        <v>2</v>
      </c>
      <c r="H320" s="15"/>
      <c r="I320" s="15">
        <f t="shared" si="89"/>
        <v>0</v>
      </c>
      <c r="J320" s="15">
        <v>1</v>
      </c>
      <c r="K320" s="15">
        <f t="shared" si="90"/>
        <v>0</v>
      </c>
      <c r="L320" s="15"/>
      <c r="M320" s="15">
        <f t="shared" si="91"/>
        <v>0</v>
      </c>
      <c r="N320" s="15"/>
      <c r="O320" s="15">
        <f t="shared" si="92"/>
        <v>0</v>
      </c>
      <c r="P320" s="15">
        <v>1</v>
      </c>
      <c r="Q320" s="15">
        <f t="shared" si="93"/>
        <v>0</v>
      </c>
      <c r="R320" s="15"/>
      <c r="S320" s="15">
        <f t="shared" si="94"/>
        <v>0</v>
      </c>
      <c r="T320" s="15"/>
      <c r="U320" s="15">
        <f t="shared" si="95"/>
        <v>0</v>
      </c>
      <c r="V320" s="15">
        <f t="shared" si="104"/>
        <v>0</v>
      </c>
      <c r="W320" s="17"/>
      <c r="X320" s="17"/>
      <c r="Y320" s="18">
        <v>7.5999999999999998E-2</v>
      </c>
      <c r="Z320" s="1">
        <f t="shared" si="96"/>
        <v>0</v>
      </c>
      <c r="AA320" s="21">
        <v>1</v>
      </c>
      <c r="AB320" s="1">
        <v>0</v>
      </c>
      <c r="AC320" s="21"/>
      <c r="AE320" s="19"/>
      <c r="AF320" s="20">
        <f>SUMIF('[1]G-Chart'!G:G,[1]Capacity!D320,'[1]G-Chart'!L:L)</f>
        <v>-1316</v>
      </c>
      <c r="AG320" s="2">
        <v>0</v>
      </c>
      <c r="AH320" s="2">
        <f t="shared" si="84"/>
        <v>0</v>
      </c>
      <c r="AI320" s="2">
        <f t="shared" si="97"/>
        <v>0</v>
      </c>
      <c r="AJ320" s="1">
        <v>0</v>
      </c>
      <c r="AK320" s="1">
        <f t="shared" si="86"/>
        <v>0</v>
      </c>
      <c r="AL320" s="1">
        <f t="shared" si="87"/>
        <v>0</v>
      </c>
      <c r="AM320" s="1">
        <f t="shared" si="100"/>
        <v>-2632</v>
      </c>
    </row>
    <row r="321" spans="1:39" x14ac:dyDescent="0.3">
      <c r="A321" s="12">
        <v>319</v>
      </c>
      <c r="B321" s="12" t="s">
        <v>276</v>
      </c>
      <c r="C321" s="13" t="s">
        <v>766</v>
      </c>
      <c r="D321" s="23" t="s">
        <v>767</v>
      </c>
      <c r="E321" s="14" t="s">
        <v>768</v>
      </c>
      <c r="F321" s="15">
        <f>+AB321</f>
        <v>0</v>
      </c>
      <c r="G321" s="16">
        <f t="shared" si="88"/>
        <v>2</v>
      </c>
      <c r="H321" s="15"/>
      <c r="I321" s="15">
        <f t="shared" si="89"/>
        <v>0</v>
      </c>
      <c r="J321" s="15"/>
      <c r="K321" s="15">
        <f t="shared" si="90"/>
        <v>0</v>
      </c>
      <c r="L321" s="15"/>
      <c r="M321" s="15">
        <f t="shared" si="91"/>
        <v>0</v>
      </c>
      <c r="N321" s="15"/>
      <c r="O321" s="15">
        <f t="shared" si="92"/>
        <v>0</v>
      </c>
      <c r="P321" s="15">
        <v>1</v>
      </c>
      <c r="Q321" s="15">
        <f t="shared" si="93"/>
        <v>0</v>
      </c>
      <c r="R321" s="15">
        <v>1</v>
      </c>
      <c r="S321" s="15">
        <f t="shared" si="94"/>
        <v>0</v>
      </c>
      <c r="T321" s="15"/>
      <c r="U321" s="15">
        <f t="shared" si="95"/>
        <v>0</v>
      </c>
      <c r="V321" s="15">
        <f t="shared" si="104"/>
        <v>0</v>
      </c>
      <c r="W321" s="17"/>
      <c r="X321" s="17"/>
      <c r="Y321" s="18">
        <v>7.5999999999999998E-2</v>
      </c>
      <c r="Z321" s="1">
        <f t="shared" si="96"/>
        <v>0</v>
      </c>
      <c r="AA321" s="21">
        <v>1</v>
      </c>
      <c r="AB321" s="1">
        <v>0</v>
      </c>
      <c r="AC321" s="21">
        <v>1014</v>
      </c>
      <c r="AE321" s="19"/>
      <c r="AF321" s="20">
        <f>SUMIF('[1]G-Chart'!G:G,[1]Capacity!D321,'[1]G-Chart'!L:L)</f>
        <v>0</v>
      </c>
      <c r="AG321" s="2">
        <f t="shared" si="83"/>
        <v>0</v>
      </c>
      <c r="AH321" s="2">
        <f t="shared" si="84"/>
        <v>0</v>
      </c>
      <c r="AI321" s="2">
        <f t="shared" si="97"/>
        <v>0</v>
      </c>
      <c r="AJ321" s="1">
        <f t="shared" si="85"/>
        <v>0</v>
      </c>
      <c r="AK321" s="1">
        <f t="shared" si="86"/>
        <v>0</v>
      </c>
      <c r="AL321" s="1">
        <f t="shared" si="87"/>
        <v>0</v>
      </c>
      <c r="AM321" s="1">
        <f t="shared" si="100"/>
        <v>0</v>
      </c>
    </row>
    <row r="322" spans="1:39" x14ac:dyDescent="0.3">
      <c r="A322" s="12">
        <v>320</v>
      </c>
      <c r="B322" s="12" t="s">
        <v>445</v>
      </c>
      <c r="C322" s="13" t="s">
        <v>769</v>
      </c>
      <c r="D322" s="13" t="s">
        <v>769</v>
      </c>
      <c r="E322" s="14" t="s">
        <v>770</v>
      </c>
      <c r="F322" s="15">
        <f>AB322</f>
        <v>0</v>
      </c>
      <c r="G322" s="16">
        <f t="shared" si="88"/>
        <v>0</v>
      </c>
      <c r="H322" s="15"/>
      <c r="I322" s="15">
        <f t="shared" si="89"/>
        <v>0</v>
      </c>
      <c r="J322" s="15"/>
      <c r="K322" s="15">
        <f t="shared" si="90"/>
        <v>0</v>
      </c>
      <c r="L322" s="15"/>
      <c r="M322" s="15">
        <f t="shared" si="91"/>
        <v>0</v>
      </c>
      <c r="N322" s="15"/>
      <c r="O322" s="15">
        <f t="shared" si="92"/>
        <v>0</v>
      </c>
      <c r="P322" s="15"/>
      <c r="Q322" s="15">
        <f t="shared" si="93"/>
        <v>0</v>
      </c>
      <c r="R322" s="15"/>
      <c r="S322" s="15">
        <f t="shared" si="94"/>
        <v>0</v>
      </c>
      <c r="T322" s="15"/>
      <c r="U322" s="15">
        <f t="shared" si="95"/>
        <v>0</v>
      </c>
      <c r="V322" s="15">
        <f t="shared" si="104"/>
        <v>0</v>
      </c>
      <c r="W322" s="17"/>
      <c r="X322" s="17"/>
      <c r="Y322" s="18">
        <v>0.19400000000000001</v>
      </c>
      <c r="Z322" s="1">
        <f t="shared" si="96"/>
        <v>0</v>
      </c>
      <c r="AA322" s="21"/>
      <c r="AB322" s="1">
        <f>AD322*AA322</f>
        <v>0</v>
      </c>
      <c r="AC322" s="21"/>
      <c r="AE322" s="19"/>
      <c r="AF322" s="20">
        <f>SUMIF('[1]G-Chart'!G:G,[1]Capacity!D322,'[1]G-Chart'!L:L)</f>
        <v>0</v>
      </c>
      <c r="AG322" s="2">
        <f t="shared" si="83"/>
        <v>0</v>
      </c>
      <c r="AH322" s="2">
        <f t="shared" si="84"/>
        <v>0</v>
      </c>
      <c r="AI322" s="2">
        <f t="shared" si="97"/>
        <v>0</v>
      </c>
      <c r="AJ322" s="1">
        <f t="shared" si="85"/>
        <v>0</v>
      </c>
      <c r="AK322" s="1">
        <f t="shared" si="86"/>
        <v>0</v>
      </c>
      <c r="AL322" s="1">
        <f t="shared" si="87"/>
        <v>0</v>
      </c>
      <c r="AM322" s="1">
        <f t="shared" si="100"/>
        <v>0</v>
      </c>
    </row>
    <row r="323" spans="1:39" x14ac:dyDescent="0.3">
      <c r="A323" s="12">
        <v>321</v>
      </c>
      <c r="B323" s="12" t="s">
        <v>259</v>
      </c>
      <c r="C323" s="13" t="s">
        <v>771</v>
      </c>
      <c r="D323" s="13" t="s">
        <v>772</v>
      </c>
      <c r="E323" s="14"/>
      <c r="F323" s="15">
        <v>0</v>
      </c>
      <c r="G323" s="16">
        <f t="shared" si="88"/>
        <v>0</v>
      </c>
      <c r="H323" s="15"/>
      <c r="I323" s="15">
        <f t="shared" si="89"/>
        <v>0</v>
      </c>
      <c r="J323" s="15"/>
      <c r="K323" s="15">
        <f t="shared" si="90"/>
        <v>0</v>
      </c>
      <c r="L323" s="15"/>
      <c r="M323" s="15">
        <f t="shared" si="91"/>
        <v>0</v>
      </c>
      <c r="N323" s="15"/>
      <c r="O323" s="15">
        <f t="shared" si="92"/>
        <v>0</v>
      </c>
      <c r="P323" s="15"/>
      <c r="Q323" s="15">
        <f t="shared" si="93"/>
        <v>0</v>
      </c>
      <c r="R323" s="15"/>
      <c r="S323" s="15">
        <f t="shared" si="94"/>
        <v>0</v>
      </c>
      <c r="T323" s="15"/>
      <c r="U323" s="15">
        <f t="shared" si="95"/>
        <v>0</v>
      </c>
      <c r="V323" s="15">
        <f t="shared" si="104"/>
        <v>0</v>
      </c>
      <c r="W323" s="17"/>
      <c r="X323" s="17"/>
      <c r="Y323" s="18">
        <v>0.8</v>
      </c>
      <c r="Z323" s="1">
        <f t="shared" si="96"/>
        <v>0</v>
      </c>
      <c r="AA323" s="21"/>
      <c r="AC323" s="21"/>
      <c r="AE323" s="19"/>
      <c r="AF323" s="20">
        <f>SUMIF('[1]G-Chart'!G:G,[1]Capacity!D323,'[1]G-Chart'!L:L)</f>
        <v>115</v>
      </c>
      <c r="AG323" s="2">
        <f t="shared" ref="AG323:AG386" si="105">AF323*J323</f>
        <v>0</v>
      </c>
      <c r="AH323" s="2">
        <f t="shared" ref="AH323:AH386" si="106">AF323*L323</f>
        <v>0</v>
      </c>
      <c r="AI323" s="2">
        <f t="shared" si="97"/>
        <v>0</v>
      </c>
      <c r="AJ323" s="1">
        <f t="shared" ref="AJ323:AJ386" si="107">AF323*P323</f>
        <v>0</v>
      </c>
      <c r="AK323" s="1">
        <f t="shared" ref="AK323:AK386" si="108">AF323*R323</f>
        <v>0</v>
      </c>
      <c r="AL323" s="1">
        <f t="shared" ref="AL323:AL386" si="109">AF323*T323</f>
        <v>0</v>
      </c>
      <c r="AM323" s="1">
        <f t="shared" si="100"/>
        <v>0</v>
      </c>
    </row>
    <row r="324" spans="1:39" x14ac:dyDescent="0.3">
      <c r="A324" s="12">
        <v>322</v>
      </c>
      <c r="B324" s="12" t="s">
        <v>259</v>
      </c>
      <c r="C324" s="13" t="s">
        <v>773</v>
      </c>
      <c r="D324" s="13" t="s">
        <v>774</v>
      </c>
      <c r="E324" s="14"/>
      <c r="F324" s="15">
        <v>0</v>
      </c>
      <c r="G324" s="16">
        <f t="shared" ref="G324:G387" si="110">H324+J324+L324+N324+P324+R324+T324</f>
        <v>0</v>
      </c>
      <c r="H324" s="15"/>
      <c r="I324" s="15">
        <f t="shared" ref="I324:I382" si="111">H324*F324</f>
        <v>0</v>
      </c>
      <c r="J324" s="15"/>
      <c r="K324" s="15">
        <f t="shared" ref="K324:K383" si="112">F324*J324</f>
        <v>0</v>
      </c>
      <c r="L324" s="15"/>
      <c r="M324" s="15">
        <f t="shared" ref="M324:M387" si="113">L324*F324</f>
        <v>0</v>
      </c>
      <c r="N324" s="15"/>
      <c r="O324" s="15">
        <f t="shared" ref="O324:O381" si="114">N324*F324</f>
        <v>0</v>
      </c>
      <c r="P324" s="15"/>
      <c r="Q324" s="15">
        <f t="shared" ref="Q324:Q387" si="115">P324*F324</f>
        <v>0</v>
      </c>
      <c r="R324" s="15"/>
      <c r="S324" s="15">
        <f t="shared" ref="S324:S387" si="116">R324*F324</f>
        <v>0</v>
      </c>
      <c r="T324" s="15"/>
      <c r="U324" s="15">
        <f t="shared" ref="U324:U387" si="117">T324*F324</f>
        <v>0</v>
      </c>
      <c r="V324" s="15">
        <f t="shared" si="104"/>
        <v>0</v>
      </c>
      <c r="W324" s="17"/>
      <c r="X324" s="17"/>
      <c r="Y324" s="18">
        <v>0.8</v>
      </c>
      <c r="Z324" s="1">
        <f t="shared" ref="Z324:Z387" si="118">F324/25</f>
        <v>0</v>
      </c>
      <c r="AA324" s="21"/>
      <c r="AC324" s="21"/>
      <c r="AE324" s="19"/>
      <c r="AF324" s="20">
        <f>SUMIF('[1]G-Chart'!G:G,[1]Capacity!D324,'[1]G-Chart'!L:L)</f>
        <v>106</v>
      </c>
      <c r="AG324" s="2">
        <f t="shared" si="105"/>
        <v>0</v>
      </c>
      <c r="AH324" s="2">
        <f t="shared" si="106"/>
        <v>0</v>
      </c>
      <c r="AI324" s="2">
        <f t="shared" ref="AI324:AI387" si="119">AF324*N324</f>
        <v>0</v>
      </c>
      <c r="AJ324" s="1">
        <f t="shared" si="107"/>
        <v>0</v>
      </c>
      <c r="AK324" s="1">
        <f t="shared" si="108"/>
        <v>0</v>
      </c>
      <c r="AL324" s="1">
        <f t="shared" si="109"/>
        <v>0</v>
      </c>
      <c r="AM324" s="1">
        <f t="shared" si="100"/>
        <v>0</v>
      </c>
    </row>
    <row r="325" spans="1:39" x14ac:dyDescent="0.3">
      <c r="A325" s="12">
        <v>323</v>
      </c>
      <c r="B325" s="12" t="s">
        <v>259</v>
      </c>
      <c r="C325" s="13" t="s">
        <v>775</v>
      </c>
      <c r="D325" s="13" t="s">
        <v>775</v>
      </c>
      <c r="E325" s="14"/>
      <c r="F325" s="15">
        <v>0</v>
      </c>
      <c r="G325" s="16">
        <f t="shared" si="110"/>
        <v>0</v>
      </c>
      <c r="H325" s="15"/>
      <c r="I325" s="15">
        <f t="shared" si="111"/>
        <v>0</v>
      </c>
      <c r="J325" s="15"/>
      <c r="K325" s="15">
        <f t="shared" si="112"/>
        <v>0</v>
      </c>
      <c r="L325" s="15"/>
      <c r="M325" s="15">
        <f t="shared" si="113"/>
        <v>0</v>
      </c>
      <c r="N325" s="15"/>
      <c r="O325" s="15">
        <f t="shared" si="114"/>
        <v>0</v>
      </c>
      <c r="P325" s="15"/>
      <c r="Q325" s="15">
        <f t="shared" si="115"/>
        <v>0</v>
      </c>
      <c r="R325" s="15"/>
      <c r="S325" s="15">
        <f t="shared" si="116"/>
        <v>0</v>
      </c>
      <c r="T325" s="15"/>
      <c r="U325" s="15">
        <f t="shared" si="117"/>
        <v>0</v>
      </c>
      <c r="V325" s="15">
        <f t="shared" si="104"/>
        <v>0</v>
      </c>
      <c r="W325" s="17"/>
      <c r="X325" s="17"/>
      <c r="Y325" s="18">
        <v>1.1000000000000001</v>
      </c>
      <c r="Z325" s="1">
        <f t="shared" si="118"/>
        <v>0</v>
      </c>
      <c r="AA325" s="21"/>
      <c r="AC325" s="21"/>
      <c r="AE325" s="19"/>
      <c r="AF325" s="20">
        <f>SUMIF('[1]G-Chart'!G:G,[1]Capacity!D325,'[1]G-Chart'!L:L)</f>
        <v>365</v>
      </c>
      <c r="AG325" s="2">
        <f t="shared" si="105"/>
        <v>0</v>
      </c>
      <c r="AH325" s="2">
        <f t="shared" si="106"/>
        <v>0</v>
      </c>
      <c r="AI325" s="2">
        <f t="shared" si="119"/>
        <v>0</v>
      </c>
      <c r="AJ325" s="1">
        <f t="shared" si="107"/>
        <v>0</v>
      </c>
      <c r="AK325" s="1">
        <f t="shared" si="108"/>
        <v>0</v>
      </c>
      <c r="AL325" s="1">
        <f t="shared" si="109"/>
        <v>0</v>
      </c>
      <c r="AM325" s="1">
        <f t="shared" si="100"/>
        <v>0</v>
      </c>
    </row>
    <row r="326" spans="1:39" x14ac:dyDescent="0.3">
      <c r="A326" s="12">
        <v>324</v>
      </c>
      <c r="B326" s="12" t="s">
        <v>259</v>
      </c>
      <c r="C326" s="13" t="s">
        <v>776</v>
      </c>
      <c r="D326" s="13" t="s">
        <v>776</v>
      </c>
      <c r="E326" s="14"/>
      <c r="F326" s="15">
        <v>0</v>
      </c>
      <c r="G326" s="16">
        <f t="shared" si="110"/>
        <v>0</v>
      </c>
      <c r="H326" s="15"/>
      <c r="I326" s="15">
        <f t="shared" si="111"/>
        <v>0</v>
      </c>
      <c r="J326" s="15"/>
      <c r="K326" s="15">
        <f t="shared" si="112"/>
        <v>0</v>
      </c>
      <c r="L326" s="15"/>
      <c r="M326" s="15">
        <f t="shared" si="113"/>
        <v>0</v>
      </c>
      <c r="N326" s="15"/>
      <c r="O326" s="15">
        <f t="shared" si="114"/>
        <v>0</v>
      </c>
      <c r="P326" s="15"/>
      <c r="Q326" s="15">
        <f t="shared" si="115"/>
        <v>0</v>
      </c>
      <c r="R326" s="15"/>
      <c r="S326" s="15">
        <f t="shared" si="116"/>
        <v>0</v>
      </c>
      <c r="T326" s="15"/>
      <c r="U326" s="15">
        <f t="shared" si="117"/>
        <v>0</v>
      </c>
      <c r="V326" s="15">
        <f t="shared" si="104"/>
        <v>0</v>
      </c>
      <c r="W326" s="17"/>
      <c r="X326" s="17"/>
      <c r="Y326" s="18">
        <v>1.1000000000000001</v>
      </c>
      <c r="Z326" s="1">
        <f t="shared" si="118"/>
        <v>0</v>
      </c>
      <c r="AA326" s="21"/>
      <c r="AC326" s="21"/>
      <c r="AE326" s="19"/>
      <c r="AF326" s="20">
        <f>SUMIF('[1]G-Chart'!G:G,[1]Capacity!D326,'[1]G-Chart'!L:L)</f>
        <v>371</v>
      </c>
      <c r="AG326" s="2">
        <f t="shared" si="105"/>
        <v>0</v>
      </c>
      <c r="AH326" s="2">
        <f t="shared" si="106"/>
        <v>0</v>
      </c>
      <c r="AI326" s="2">
        <f t="shared" si="119"/>
        <v>0</v>
      </c>
      <c r="AJ326" s="1">
        <f t="shared" si="107"/>
        <v>0</v>
      </c>
      <c r="AK326" s="1">
        <f t="shared" si="108"/>
        <v>0</v>
      </c>
      <c r="AL326" s="1">
        <f t="shared" si="109"/>
        <v>0</v>
      </c>
      <c r="AM326" s="1">
        <f t="shared" si="100"/>
        <v>0</v>
      </c>
    </row>
    <row r="327" spans="1:39" x14ac:dyDescent="0.3">
      <c r="A327" s="12">
        <v>325</v>
      </c>
      <c r="B327" s="12" t="s">
        <v>259</v>
      </c>
      <c r="C327" s="13" t="s">
        <v>777</v>
      </c>
      <c r="D327" s="13" t="s">
        <v>778</v>
      </c>
      <c r="E327" s="14"/>
      <c r="F327" s="15">
        <v>0</v>
      </c>
      <c r="G327" s="16">
        <f t="shared" si="110"/>
        <v>0</v>
      </c>
      <c r="H327" s="15"/>
      <c r="I327" s="15">
        <f t="shared" si="111"/>
        <v>0</v>
      </c>
      <c r="J327" s="15"/>
      <c r="K327" s="15">
        <f t="shared" si="112"/>
        <v>0</v>
      </c>
      <c r="L327" s="15"/>
      <c r="M327" s="15">
        <f t="shared" si="113"/>
        <v>0</v>
      </c>
      <c r="N327" s="15"/>
      <c r="O327" s="15">
        <f t="shared" si="114"/>
        <v>0</v>
      </c>
      <c r="P327" s="15"/>
      <c r="Q327" s="15">
        <f t="shared" si="115"/>
        <v>0</v>
      </c>
      <c r="R327" s="15"/>
      <c r="S327" s="15">
        <f t="shared" si="116"/>
        <v>0</v>
      </c>
      <c r="T327" s="15"/>
      <c r="U327" s="15">
        <f t="shared" si="117"/>
        <v>0</v>
      </c>
      <c r="V327" s="15">
        <f t="shared" si="104"/>
        <v>0</v>
      </c>
      <c r="W327" s="17"/>
      <c r="X327" s="17"/>
      <c r="Y327" s="18">
        <v>0.45</v>
      </c>
      <c r="Z327" s="1">
        <f t="shared" si="118"/>
        <v>0</v>
      </c>
      <c r="AA327" s="21"/>
      <c r="AC327" s="21"/>
      <c r="AE327" s="19"/>
      <c r="AF327" s="20">
        <f>SUMIF('[1]G-Chart'!G:G,[1]Capacity!D327,'[1]G-Chart'!L:L)</f>
        <v>680</v>
      </c>
      <c r="AG327" s="2">
        <f t="shared" si="105"/>
        <v>0</v>
      </c>
      <c r="AH327" s="2">
        <f t="shared" si="106"/>
        <v>0</v>
      </c>
      <c r="AI327" s="2">
        <f t="shared" si="119"/>
        <v>0</v>
      </c>
      <c r="AJ327" s="1">
        <f t="shared" si="107"/>
        <v>0</v>
      </c>
      <c r="AK327" s="1">
        <f t="shared" si="108"/>
        <v>0</v>
      </c>
      <c r="AL327" s="1">
        <f t="shared" si="109"/>
        <v>0</v>
      </c>
      <c r="AM327" s="1">
        <f t="shared" si="100"/>
        <v>0</v>
      </c>
    </row>
    <row r="328" spans="1:39" x14ac:dyDescent="0.3">
      <c r="A328" s="12">
        <v>326</v>
      </c>
      <c r="B328" s="12" t="s">
        <v>259</v>
      </c>
      <c r="C328" s="13" t="s">
        <v>779</v>
      </c>
      <c r="D328" s="13" t="s">
        <v>780</v>
      </c>
      <c r="E328" s="14"/>
      <c r="F328" s="15">
        <v>0</v>
      </c>
      <c r="G328" s="16">
        <f t="shared" si="110"/>
        <v>0</v>
      </c>
      <c r="H328" s="15"/>
      <c r="I328" s="15">
        <f t="shared" si="111"/>
        <v>0</v>
      </c>
      <c r="J328" s="15"/>
      <c r="K328" s="15">
        <f t="shared" si="112"/>
        <v>0</v>
      </c>
      <c r="L328" s="15"/>
      <c r="M328" s="15">
        <f t="shared" si="113"/>
        <v>0</v>
      </c>
      <c r="N328" s="15"/>
      <c r="O328" s="15">
        <f t="shared" si="114"/>
        <v>0</v>
      </c>
      <c r="P328" s="15"/>
      <c r="Q328" s="15">
        <f t="shared" si="115"/>
        <v>0</v>
      </c>
      <c r="R328" s="15"/>
      <c r="S328" s="15">
        <f t="shared" si="116"/>
        <v>0</v>
      </c>
      <c r="T328" s="15"/>
      <c r="U328" s="15">
        <f t="shared" si="117"/>
        <v>0</v>
      </c>
      <c r="V328" s="15">
        <f t="shared" si="104"/>
        <v>0</v>
      </c>
      <c r="W328" s="17"/>
      <c r="X328" s="17"/>
      <c r="Y328" s="18">
        <v>5.45</v>
      </c>
      <c r="Z328" s="1">
        <f t="shared" si="118"/>
        <v>0</v>
      </c>
      <c r="AA328" s="21"/>
      <c r="AC328" s="21"/>
      <c r="AE328" s="19"/>
      <c r="AF328" s="20">
        <f>SUMIF('[1]G-Chart'!G:G,[1]Capacity!D328,'[1]G-Chart'!L:L)</f>
        <v>0</v>
      </c>
      <c r="AG328" s="2">
        <f t="shared" si="105"/>
        <v>0</v>
      </c>
      <c r="AH328" s="2">
        <f t="shared" si="106"/>
        <v>0</v>
      </c>
      <c r="AI328" s="2">
        <f t="shared" si="119"/>
        <v>0</v>
      </c>
      <c r="AJ328" s="1">
        <f t="shared" si="107"/>
        <v>0</v>
      </c>
      <c r="AK328" s="1">
        <f t="shared" si="108"/>
        <v>0</v>
      </c>
      <c r="AL328" s="1">
        <f t="shared" si="109"/>
        <v>0</v>
      </c>
      <c r="AM328" s="1">
        <f t="shared" si="100"/>
        <v>0</v>
      </c>
    </row>
    <row r="329" spans="1:39" x14ac:dyDescent="0.3">
      <c r="A329" s="12">
        <v>327</v>
      </c>
      <c r="B329" s="12" t="s">
        <v>259</v>
      </c>
      <c r="C329" s="13" t="s">
        <v>781</v>
      </c>
      <c r="D329" s="13" t="s">
        <v>782</v>
      </c>
      <c r="E329" s="14"/>
      <c r="F329" s="15">
        <v>0</v>
      </c>
      <c r="G329" s="16">
        <f t="shared" si="110"/>
        <v>0</v>
      </c>
      <c r="H329" s="15"/>
      <c r="I329" s="15">
        <f t="shared" si="111"/>
        <v>0</v>
      </c>
      <c r="J329" s="15"/>
      <c r="K329" s="15">
        <f t="shared" si="112"/>
        <v>0</v>
      </c>
      <c r="L329" s="15"/>
      <c r="M329" s="15">
        <f t="shared" si="113"/>
        <v>0</v>
      </c>
      <c r="N329" s="15"/>
      <c r="O329" s="15">
        <f t="shared" si="114"/>
        <v>0</v>
      </c>
      <c r="P329" s="15"/>
      <c r="Q329" s="15">
        <f t="shared" si="115"/>
        <v>0</v>
      </c>
      <c r="R329" s="15"/>
      <c r="S329" s="15">
        <f t="shared" si="116"/>
        <v>0</v>
      </c>
      <c r="T329" s="15"/>
      <c r="U329" s="15">
        <f t="shared" si="117"/>
        <v>0</v>
      </c>
      <c r="V329" s="15">
        <f t="shared" si="104"/>
        <v>0</v>
      </c>
      <c r="W329" s="17"/>
      <c r="X329" s="17"/>
      <c r="Y329" s="18">
        <v>5.5</v>
      </c>
      <c r="Z329" s="1">
        <f t="shared" si="118"/>
        <v>0</v>
      </c>
      <c r="AA329" s="21"/>
      <c r="AC329" s="21"/>
      <c r="AE329" s="19"/>
      <c r="AF329" s="20">
        <f>SUMIF('[1]G-Chart'!G:G,[1]Capacity!D329,'[1]G-Chart'!L:L)</f>
        <v>129</v>
      </c>
      <c r="AG329" s="2">
        <f t="shared" si="105"/>
        <v>0</v>
      </c>
      <c r="AH329" s="2">
        <f t="shared" si="106"/>
        <v>0</v>
      </c>
      <c r="AI329" s="2">
        <f t="shared" si="119"/>
        <v>0</v>
      </c>
      <c r="AJ329" s="1">
        <f t="shared" si="107"/>
        <v>0</v>
      </c>
      <c r="AK329" s="1">
        <f t="shared" si="108"/>
        <v>0</v>
      </c>
      <c r="AL329" s="1">
        <f t="shared" si="109"/>
        <v>0</v>
      </c>
      <c r="AM329" s="1">
        <f t="shared" si="100"/>
        <v>0</v>
      </c>
    </row>
    <row r="330" spans="1:39" x14ac:dyDescent="0.3">
      <c r="A330" s="12">
        <v>328</v>
      </c>
      <c r="B330" s="12" t="s">
        <v>259</v>
      </c>
      <c r="C330" s="13" t="s">
        <v>783</v>
      </c>
      <c r="D330" s="13" t="s">
        <v>783</v>
      </c>
      <c r="E330" s="14" t="s">
        <v>784</v>
      </c>
      <c r="F330" s="15">
        <v>0</v>
      </c>
      <c r="G330" s="16">
        <f t="shared" si="110"/>
        <v>3</v>
      </c>
      <c r="H330" s="15"/>
      <c r="I330" s="15">
        <f t="shared" si="111"/>
        <v>0</v>
      </c>
      <c r="J330" s="15"/>
      <c r="K330" s="15">
        <f t="shared" si="112"/>
        <v>0</v>
      </c>
      <c r="L330" s="15"/>
      <c r="M330" s="15">
        <f t="shared" si="113"/>
        <v>0</v>
      </c>
      <c r="N330" s="15"/>
      <c r="O330" s="15">
        <f t="shared" si="114"/>
        <v>0</v>
      </c>
      <c r="P330" s="15"/>
      <c r="Q330" s="15">
        <f t="shared" si="115"/>
        <v>0</v>
      </c>
      <c r="R330" s="15">
        <v>1</v>
      </c>
      <c r="S330" s="15">
        <f t="shared" si="116"/>
        <v>0</v>
      </c>
      <c r="T330" s="15">
        <v>2</v>
      </c>
      <c r="U330" s="15">
        <f t="shared" si="117"/>
        <v>0</v>
      </c>
      <c r="V330" s="15">
        <f t="shared" si="104"/>
        <v>0</v>
      </c>
      <c r="W330" s="17"/>
      <c r="X330" s="17"/>
      <c r="Y330" s="18">
        <v>1.859</v>
      </c>
      <c r="Z330" s="1">
        <f t="shared" si="118"/>
        <v>0</v>
      </c>
      <c r="AA330" s="21"/>
      <c r="AC330" s="21"/>
      <c r="AE330" s="19"/>
      <c r="AF330" s="20">
        <f>SUMIF('[1]G-Chart'!G:G,[1]Capacity!D330,'[1]G-Chart'!L:L)</f>
        <v>0</v>
      </c>
      <c r="AG330" s="2">
        <f t="shared" si="105"/>
        <v>0</v>
      </c>
      <c r="AH330" s="2">
        <f t="shared" si="106"/>
        <v>0</v>
      </c>
      <c r="AI330" s="2">
        <f t="shared" si="119"/>
        <v>0</v>
      </c>
      <c r="AJ330" s="1">
        <f t="shared" si="107"/>
        <v>0</v>
      </c>
      <c r="AK330" s="1">
        <f t="shared" si="108"/>
        <v>0</v>
      </c>
      <c r="AL330" s="1">
        <f t="shared" si="109"/>
        <v>0</v>
      </c>
      <c r="AM330" s="1">
        <f t="shared" si="100"/>
        <v>0</v>
      </c>
    </row>
    <row r="331" spans="1:39" x14ac:dyDescent="0.3">
      <c r="A331" s="12">
        <v>329</v>
      </c>
      <c r="B331" s="12" t="s">
        <v>259</v>
      </c>
      <c r="C331" s="13" t="s">
        <v>785</v>
      </c>
      <c r="D331" s="13" t="s">
        <v>785</v>
      </c>
      <c r="E331" s="14" t="s">
        <v>786</v>
      </c>
      <c r="F331" s="15">
        <v>0</v>
      </c>
      <c r="G331" s="16">
        <f t="shared" si="110"/>
        <v>4</v>
      </c>
      <c r="H331" s="15"/>
      <c r="I331" s="15">
        <f t="shared" si="111"/>
        <v>0</v>
      </c>
      <c r="J331" s="15"/>
      <c r="K331" s="15">
        <f t="shared" si="112"/>
        <v>0</v>
      </c>
      <c r="L331" s="15"/>
      <c r="M331" s="15">
        <f t="shared" si="113"/>
        <v>0</v>
      </c>
      <c r="N331" s="15"/>
      <c r="O331" s="15">
        <f t="shared" si="114"/>
        <v>0</v>
      </c>
      <c r="P331" s="15">
        <v>1</v>
      </c>
      <c r="Q331" s="15">
        <f t="shared" si="115"/>
        <v>0</v>
      </c>
      <c r="R331" s="15">
        <v>1</v>
      </c>
      <c r="S331" s="15">
        <f t="shared" si="116"/>
        <v>0</v>
      </c>
      <c r="T331" s="15">
        <v>2</v>
      </c>
      <c r="U331" s="15">
        <f t="shared" si="117"/>
        <v>0</v>
      </c>
      <c r="V331" s="15">
        <f t="shared" si="104"/>
        <v>0</v>
      </c>
      <c r="W331" s="17"/>
      <c r="X331" s="17"/>
      <c r="Y331" s="18">
        <v>7.4</v>
      </c>
      <c r="Z331" s="1">
        <f t="shared" si="118"/>
        <v>0</v>
      </c>
      <c r="AA331" s="21"/>
      <c r="AC331" s="21"/>
      <c r="AE331" s="19"/>
      <c r="AF331" s="20">
        <f>SUMIF('[1]G-Chart'!G:G,[1]Capacity!D331,'[1]G-Chart'!L:L)</f>
        <v>0</v>
      </c>
      <c r="AG331" s="2">
        <f t="shared" si="105"/>
        <v>0</v>
      </c>
      <c r="AH331" s="2">
        <f t="shared" si="106"/>
        <v>0</v>
      </c>
      <c r="AI331" s="2">
        <f t="shared" si="119"/>
        <v>0</v>
      </c>
      <c r="AJ331" s="1">
        <f t="shared" si="107"/>
        <v>0</v>
      </c>
      <c r="AK331" s="1">
        <f t="shared" si="108"/>
        <v>0</v>
      </c>
      <c r="AL331" s="1">
        <f t="shared" si="109"/>
        <v>0</v>
      </c>
      <c r="AM331" s="1">
        <f t="shared" si="100"/>
        <v>0</v>
      </c>
    </row>
    <row r="332" spans="1:39" x14ac:dyDescent="0.3">
      <c r="A332" s="12">
        <v>330</v>
      </c>
      <c r="B332" s="12" t="s">
        <v>171</v>
      </c>
      <c r="C332" s="13" t="s">
        <v>787</v>
      </c>
      <c r="D332" s="13" t="s">
        <v>787</v>
      </c>
      <c r="E332" s="14" t="s">
        <v>788</v>
      </c>
      <c r="F332" s="15">
        <f>AB332</f>
        <v>0</v>
      </c>
      <c r="G332" s="16">
        <f t="shared" si="110"/>
        <v>0</v>
      </c>
      <c r="H332" s="15"/>
      <c r="I332" s="15">
        <f t="shared" si="111"/>
        <v>0</v>
      </c>
      <c r="J332" s="15"/>
      <c r="K332" s="15">
        <f t="shared" si="112"/>
        <v>0</v>
      </c>
      <c r="L332" s="15"/>
      <c r="M332" s="15">
        <f t="shared" si="113"/>
        <v>0</v>
      </c>
      <c r="N332" s="15"/>
      <c r="O332" s="15">
        <f t="shared" si="114"/>
        <v>0</v>
      </c>
      <c r="P332" s="15"/>
      <c r="Q332" s="15">
        <f t="shared" si="115"/>
        <v>0</v>
      </c>
      <c r="R332" s="15"/>
      <c r="S332" s="15">
        <f t="shared" si="116"/>
        <v>0</v>
      </c>
      <c r="T332" s="15"/>
      <c r="U332" s="15">
        <f t="shared" si="117"/>
        <v>0</v>
      </c>
      <c r="V332" s="15">
        <f t="shared" si="104"/>
        <v>0</v>
      </c>
      <c r="W332" s="17"/>
      <c r="X332" s="17"/>
      <c r="Y332" s="18">
        <v>0.755</v>
      </c>
      <c r="Z332" s="1">
        <f t="shared" si="118"/>
        <v>0</v>
      </c>
      <c r="AA332" s="21"/>
      <c r="AB332" s="1">
        <f>AD332*AA332</f>
        <v>0</v>
      </c>
      <c r="AC332" s="21"/>
      <c r="AE332" s="19"/>
      <c r="AF332" s="20">
        <f>SUMIF('[1]G-Chart'!G:G,[1]Capacity!D332,'[1]G-Chart'!L:L)</f>
        <v>395</v>
      </c>
      <c r="AG332" s="2">
        <f t="shared" si="105"/>
        <v>0</v>
      </c>
      <c r="AH332" s="2">
        <f t="shared" si="106"/>
        <v>0</v>
      </c>
      <c r="AI332" s="2">
        <f t="shared" si="119"/>
        <v>0</v>
      </c>
      <c r="AJ332" s="1">
        <f t="shared" si="107"/>
        <v>0</v>
      </c>
      <c r="AK332" s="1">
        <f t="shared" si="108"/>
        <v>0</v>
      </c>
      <c r="AL332" s="1">
        <f t="shared" si="109"/>
        <v>0</v>
      </c>
      <c r="AM332" s="1">
        <f t="shared" si="100"/>
        <v>0</v>
      </c>
    </row>
    <row r="333" spans="1:39" x14ac:dyDescent="0.3">
      <c r="A333" s="12">
        <v>331</v>
      </c>
      <c r="B333" s="12" t="s">
        <v>171</v>
      </c>
      <c r="C333" s="13" t="s">
        <v>789</v>
      </c>
      <c r="D333" s="13" t="s">
        <v>789</v>
      </c>
      <c r="E333" s="14" t="s">
        <v>790</v>
      </c>
      <c r="F333" s="15">
        <f>AB333</f>
        <v>0</v>
      </c>
      <c r="G333" s="16">
        <f t="shared" si="110"/>
        <v>0</v>
      </c>
      <c r="H333" s="15"/>
      <c r="I333" s="15">
        <f t="shared" si="111"/>
        <v>0</v>
      </c>
      <c r="J333" s="15"/>
      <c r="K333" s="15">
        <f t="shared" si="112"/>
        <v>0</v>
      </c>
      <c r="L333" s="15"/>
      <c r="M333" s="15">
        <f t="shared" si="113"/>
        <v>0</v>
      </c>
      <c r="N333" s="15"/>
      <c r="O333" s="15">
        <f t="shared" si="114"/>
        <v>0</v>
      </c>
      <c r="P333" s="15"/>
      <c r="Q333" s="15">
        <f t="shared" si="115"/>
        <v>0</v>
      </c>
      <c r="R333" s="15"/>
      <c r="S333" s="15">
        <f t="shared" si="116"/>
        <v>0</v>
      </c>
      <c r="T333" s="15"/>
      <c r="U333" s="15">
        <f t="shared" si="117"/>
        <v>0</v>
      </c>
      <c r="V333" s="15">
        <f t="shared" si="104"/>
        <v>0</v>
      </c>
      <c r="W333" s="17"/>
      <c r="X333" s="17"/>
      <c r="Y333" s="18">
        <v>0.751</v>
      </c>
      <c r="Z333" s="1">
        <f t="shared" si="118"/>
        <v>0</v>
      </c>
      <c r="AA333" s="21"/>
      <c r="AB333" s="1">
        <f>AD333*AA333</f>
        <v>0</v>
      </c>
      <c r="AC333" s="21"/>
      <c r="AE333" s="19"/>
      <c r="AF333" s="20">
        <f>SUMIF('[1]G-Chart'!G:G,[1]Capacity!D333,'[1]G-Chart'!L:L)</f>
        <v>242</v>
      </c>
      <c r="AG333" s="2">
        <f t="shared" si="105"/>
        <v>0</v>
      </c>
      <c r="AH333" s="2">
        <f t="shared" si="106"/>
        <v>0</v>
      </c>
      <c r="AI333" s="2">
        <f t="shared" si="119"/>
        <v>0</v>
      </c>
      <c r="AJ333" s="1">
        <f t="shared" si="107"/>
        <v>0</v>
      </c>
      <c r="AK333" s="1">
        <f t="shared" si="108"/>
        <v>0</v>
      </c>
      <c r="AL333" s="1">
        <f t="shared" si="109"/>
        <v>0</v>
      </c>
      <c r="AM333" s="1">
        <f t="shared" si="100"/>
        <v>0</v>
      </c>
    </row>
    <row r="334" spans="1:39" x14ac:dyDescent="0.3">
      <c r="A334" s="12">
        <v>332</v>
      </c>
      <c r="B334" s="12" t="s">
        <v>540</v>
      </c>
      <c r="C334" s="13" t="s">
        <v>791</v>
      </c>
      <c r="D334" s="13" t="s">
        <v>791</v>
      </c>
      <c r="E334" s="14" t="s">
        <v>792</v>
      </c>
      <c r="F334" s="15">
        <f>AB334</f>
        <v>0</v>
      </c>
      <c r="G334" s="16">
        <f t="shared" si="110"/>
        <v>0</v>
      </c>
      <c r="H334" s="15"/>
      <c r="I334" s="15">
        <f t="shared" si="111"/>
        <v>0</v>
      </c>
      <c r="J334" s="15"/>
      <c r="K334" s="15">
        <f t="shared" si="112"/>
        <v>0</v>
      </c>
      <c r="L334" s="15"/>
      <c r="M334" s="15">
        <f t="shared" si="113"/>
        <v>0</v>
      </c>
      <c r="N334" s="15"/>
      <c r="O334" s="15">
        <f t="shared" si="114"/>
        <v>0</v>
      </c>
      <c r="P334" s="15"/>
      <c r="Q334" s="15">
        <f t="shared" si="115"/>
        <v>0</v>
      </c>
      <c r="R334" s="15"/>
      <c r="S334" s="15">
        <f t="shared" si="116"/>
        <v>0</v>
      </c>
      <c r="T334" s="15"/>
      <c r="U334" s="15">
        <f t="shared" si="117"/>
        <v>0</v>
      </c>
      <c r="V334" s="15">
        <f t="shared" si="104"/>
        <v>0</v>
      </c>
      <c r="W334" s="17"/>
      <c r="X334" s="17"/>
      <c r="Y334" s="18">
        <v>3.968</v>
      </c>
      <c r="Z334" s="1">
        <f t="shared" si="118"/>
        <v>0</v>
      </c>
      <c r="AA334" s="21"/>
      <c r="AB334" s="1">
        <f>AA334*AC334</f>
        <v>0</v>
      </c>
      <c r="AC334" s="21"/>
      <c r="AE334" s="19"/>
      <c r="AF334" s="20">
        <f>SUMIF('[1]G-Chart'!G:G,[1]Capacity!D334,'[1]G-Chart'!L:L)</f>
        <v>0</v>
      </c>
      <c r="AG334" s="2">
        <f t="shared" si="105"/>
        <v>0</v>
      </c>
      <c r="AH334" s="2">
        <f t="shared" si="106"/>
        <v>0</v>
      </c>
      <c r="AI334" s="2">
        <f t="shared" si="119"/>
        <v>0</v>
      </c>
      <c r="AJ334" s="1">
        <f t="shared" si="107"/>
        <v>0</v>
      </c>
      <c r="AK334" s="1">
        <f t="shared" si="108"/>
        <v>0</v>
      </c>
      <c r="AL334" s="1">
        <f t="shared" si="109"/>
        <v>0</v>
      </c>
      <c r="AM334" s="1">
        <f t="shared" si="100"/>
        <v>0</v>
      </c>
    </row>
    <row r="335" spans="1:39" x14ac:dyDescent="0.3">
      <c r="A335" s="12">
        <v>333</v>
      </c>
      <c r="B335" s="12" t="s">
        <v>171</v>
      </c>
      <c r="C335" s="13" t="s">
        <v>793</v>
      </c>
      <c r="D335" s="13" t="s">
        <v>793</v>
      </c>
      <c r="E335" s="14" t="s">
        <v>794</v>
      </c>
      <c r="F335" s="15">
        <f>AB335</f>
        <v>0</v>
      </c>
      <c r="G335" s="16">
        <f t="shared" si="110"/>
        <v>0</v>
      </c>
      <c r="H335" s="15"/>
      <c r="I335" s="15">
        <f t="shared" si="111"/>
        <v>0</v>
      </c>
      <c r="J335" s="15"/>
      <c r="K335" s="15">
        <f t="shared" si="112"/>
        <v>0</v>
      </c>
      <c r="L335" s="15"/>
      <c r="M335" s="15">
        <f t="shared" si="113"/>
        <v>0</v>
      </c>
      <c r="N335" s="15"/>
      <c r="O335" s="15">
        <f t="shared" si="114"/>
        <v>0</v>
      </c>
      <c r="P335" s="15"/>
      <c r="Q335" s="15">
        <f t="shared" si="115"/>
        <v>0</v>
      </c>
      <c r="R335" s="15"/>
      <c r="S335" s="15">
        <f t="shared" si="116"/>
        <v>0</v>
      </c>
      <c r="T335" s="15"/>
      <c r="U335" s="15">
        <f t="shared" si="117"/>
        <v>0</v>
      </c>
      <c r="V335" s="15">
        <f t="shared" si="104"/>
        <v>0</v>
      </c>
      <c r="W335" s="17"/>
      <c r="X335" s="17"/>
      <c r="Y335" s="18">
        <v>0.25800000000000001</v>
      </c>
      <c r="Z335" s="1">
        <f t="shared" si="118"/>
        <v>0</v>
      </c>
      <c r="AA335" s="21"/>
      <c r="AB335" s="1">
        <f>AD335*AA335</f>
        <v>0</v>
      </c>
      <c r="AC335" s="21"/>
      <c r="AE335" s="19"/>
      <c r="AF335" s="20">
        <f>SUMIF('[1]G-Chart'!G:G,[1]Capacity!D335,'[1]G-Chart'!L:L)</f>
        <v>0</v>
      </c>
      <c r="AG335" s="2">
        <f t="shared" si="105"/>
        <v>0</v>
      </c>
      <c r="AH335" s="2">
        <f t="shared" si="106"/>
        <v>0</v>
      </c>
      <c r="AI335" s="2">
        <f t="shared" si="119"/>
        <v>0</v>
      </c>
      <c r="AJ335" s="1">
        <f t="shared" si="107"/>
        <v>0</v>
      </c>
      <c r="AK335" s="1">
        <f t="shared" si="108"/>
        <v>0</v>
      </c>
      <c r="AL335" s="1">
        <f t="shared" si="109"/>
        <v>0</v>
      </c>
      <c r="AM335" s="1">
        <f t="shared" si="100"/>
        <v>0</v>
      </c>
    </row>
    <row r="336" spans="1:39" x14ac:dyDescent="0.3">
      <c r="A336" s="12">
        <v>334</v>
      </c>
      <c r="B336" s="12" t="s">
        <v>171</v>
      </c>
      <c r="C336" s="13" t="s">
        <v>795</v>
      </c>
      <c r="D336" s="13" t="s">
        <v>795</v>
      </c>
      <c r="E336" s="14" t="s">
        <v>796</v>
      </c>
      <c r="F336" s="15">
        <f>AB336</f>
        <v>0</v>
      </c>
      <c r="G336" s="16">
        <f t="shared" si="110"/>
        <v>0</v>
      </c>
      <c r="H336" s="15"/>
      <c r="I336" s="15">
        <f t="shared" si="111"/>
        <v>0</v>
      </c>
      <c r="J336" s="15"/>
      <c r="K336" s="15">
        <f t="shared" si="112"/>
        <v>0</v>
      </c>
      <c r="L336" s="15"/>
      <c r="M336" s="15">
        <f t="shared" si="113"/>
        <v>0</v>
      </c>
      <c r="N336" s="15"/>
      <c r="O336" s="15">
        <f t="shared" si="114"/>
        <v>0</v>
      </c>
      <c r="P336" s="15"/>
      <c r="Q336" s="15">
        <f t="shared" si="115"/>
        <v>0</v>
      </c>
      <c r="R336" s="15"/>
      <c r="S336" s="15">
        <f t="shared" si="116"/>
        <v>0</v>
      </c>
      <c r="T336" s="15"/>
      <c r="U336" s="15">
        <f t="shared" si="117"/>
        <v>0</v>
      </c>
      <c r="V336" s="15">
        <f t="shared" si="104"/>
        <v>0</v>
      </c>
      <c r="W336" s="17"/>
      <c r="X336" s="17"/>
      <c r="Y336" s="18">
        <v>0.26</v>
      </c>
      <c r="Z336" s="1">
        <f t="shared" si="118"/>
        <v>0</v>
      </c>
      <c r="AA336" s="21"/>
      <c r="AB336" s="1">
        <f>AD336*AA336</f>
        <v>0</v>
      </c>
      <c r="AC336" s="21"/>
      <c r="AE336" s="19"/>
      <c r="AF336" s="20">
        <f>SUMIF('[1]G-Chart'!G:G,[1]Capacity!D336,'[1]G-Chart'!L:L)</f>
        <v>0</v>
      </c>
      <c r="AG336" s="2">
        <f t="shared" si="105"/>
        <v>0</v>
      </c>
      <c r="AH336" s="2">
        <f t="shared" si="106"/>
        <v>0</v>
      </c>
      <c r="AI336" s="2">
        <f t="shared" si="119"/>
        <v>0</v>
      </c>
      <c r="AJ336" s="1">
        <f t="shared" si="107"/>
        <v>0</v>
      </c>
      <c r="AK336" s="1">
        <f t="shared" si="108"/>
        <v>0</v>
      </c>
      <c r="AL336" s="1">
        <f t="shared" si="109"/>
        <v>0</v>
      </c>
      <c r="AM336" s="1">
        <f t="shared" si="100"/>
        <v>0</v>
      </c>
    </row>
    <row r="337" spans="1:39" x14ac:dyDescent="0.3">
      <c r="A337" s="12">
        <v>335</v>
      </c>
      <c r="B337" s="12" t="s">
        <v>259</v>
      </c>
      <c r="C337" s="13" t="s">
        <v>797</v>
      </c>
      <c r="D337" s="13" t="s">
        <v>797</v>
      </c>
      <c r="E337" s="14"/>
      <c r="F337" s="15">
        <v>0</v>
      </c>
      <c r="G337" s="16">
        <f t="shared" si="110"/>
        <v>0</v>
      </c>
      <c r="H337" s="15"/>
      <c r="I337" s="15">
        <f t="shared" si="111"/>
        <v>0</v>
      </c>
      <c r="J337" s="15"/>
      <c r="K337" s="15">
        <f t="shared" si="112"/>
        <v>0</v>
      </c>
      <c r="L337" s="15"/>
      <c r="M337" s="15">
        <f t="shared" si="113"/>
        <v>0</v>
      </c>
      <c r="N337" s="15"/>
      <c r="O337" s="15">
        <f t="shared" si="114"/>
        <v>0</v>
      </c>
      <c r="P337" s="15"/>
      <c r="Q337" s="15">
        <f t="shared" si="115"/>
        <v>0</v>
      </c>
      <c r="R337" s="15"/>
      <c r="S337" s="15">
        <f t="shared" si="116"/>
        <v>0</v>
      </c>
      <c r="T337" s="15"/>
      <c r="U337" s="15">
        <f t="shared" si="117"/>
        <v>0</v>
      </c>
      <c r="V337" s="15">
        <f t="shared" si="104"/>
        <v>0</v>
      </c>
      <c r="W337" s="17"/>
      <c r="X337" s="17"/>
      <c r="Y337" s="18">
        <v>0.50900000000000001</v>
      </c>
      <c r="Z337" s="1">
        <f t="shared" si="118"/>
        <v>0</v>
      </c>
      <c r="AA337" s="21"/>
      <c r="AC337" s="21"/>
      <c r="AE337" s="19"/>
      <c r="AF337" s="20">
        <f>SUMIF('[1]G-Chart'!G:G,[1]Capacity!D337,'[1]G-Chart'!L:L)</f>
        <v>0</v>
      </c>
      <c r="AG337" s="2">
        <f t="shared" si="105"/>
        <v>0</v>
      </c>
      <c r="AH337" s="2">
        <f t="shared" si="106"/>
        <v>0</v>
      </c>
      <c r="AI337" s="2">
        <f t="shared" si="119"/>
        <v>0</v>
      </c>
      <c r="AJ337" s="1">
        <f t="shared" si="107"/>
        <v>0</v>
      </c>
      <c r="AK337" s="1">
        <f t="shared" si="108"/>
        <v>0</v>
      </c>
      <c r="AL337" s="1">
        <f t="shared" si="109"/>
        <v>0</v>
      </c>
      <c r="AM337" s="1">
        <f t="shared" si="100"/>
        <v>0</v>
      </c>
    </row>
    <row r="338" spans="1:39" x14ac:dyDescent="0.3">
      <c r="A338" s="12">
        <v>336</v>
      </c>
      <c r="B338" s="12" t="s">
        <v>171</v>
      </c>
      <c r="C338" s="13" t="s">
        <v>798</v>
      </c>
      <c r="D338" s="23" t="s">
        <v>799</v>
      </c>
      <c r="E338" s="14"/>
      <c r="F338" s="15">
        <f>AB338</f>
        <v>0</v>
      </c>
      <c r="G338" s="16">
        <f t="shared" si="110"/>
        <v>3</v>
      </c>
      <c r="H338" s="15"/>
      <c r="I338" s="15">
        <f t="shared" si="111"/>
        <v>0</v>
      </c>
      <c r="J338" s="15"/>
      <c r="K338" s="15">
        <f t="shared" si="112"/>
        <v>0</v>
      </c>
      <c r="L338" s="15"/>
      <c r="M338" s="15">
        <f t="shared" si="113"/>
        <v>0</v>
      </c>
      <c r="N338" s="15"/>
      <c r="O338" s="15">
        <f t="shared" si="114"/>
        <v>0</v>
      </c>
      <c r="P338" s="15">
        <v>1</v>
      </c>
      <c r="Q338" s="15">
        <f t="shared" si="115"/>
        <v>0</v>
      </c>
      <c r="R338" s="15"/>
      <c r="S338" s="15">
        <f t="shared" si="116"/>
        <v>0</v>
      </c>
      <c r="T338" s="15">
        <v>2</v>
      </c>
      <c r="U338" s="15">
        <f t="shared" si="117"/>
        <v>0</v>
      </c>
      <c r="V338" s="15">
        <f t="shared" si="104"/>
        <v>0</v>
      </c>
      <c r="W338" s="17"/>
      <c r="X338" s="17"/>
      <c r="Y338" s="18">
        <v>2.1999999999999999E-2</v>
      </c>
      <c r="Z338" s="1">
        <f t="shared" si="118"/>
        <v>0</v>
      </c>
      <c r="AA338" s="21"/>
      <c r="AB338" s="1">
        <f>AD338*AA338</f>
        <v>0</v>
      </c>
      <c r="AC338" s="21"/>
      <c r="AE338" s="19"/>
      <c r="AF338" s="20">
        <f>SUMIF('[1]G-Chart'!G:G,[1]Capacity!D338,'[1]G-Chart'!L:L)</f>
        <v>-4558</v>
      </c>
      <c r="AG338" s="2">
        <f t="shared" si="105"/>
        <v>0</v>
      </c>
      <c r="AH338" s="2">
        <f t="shared" si="106"/>
        <v>0</v>
      </c>
      <c r="AI338" s="2">
        <f t="shared" si="119"/>
        <v>0</v>
      </c>
      <c r="AJ338" s="1">
        <v>0</v>
      </c>
      <c r="AK338" s="1">
        <f t="shared" si="108"/>
        <v>0</v>
      </c>
      <c r="AL338" s="1">
        <v>0</v>
      </c>
      <c r="AM338" s="1">
        <f t="shared" si="100"/>
        <v>-13674</v>
      </c>
    </row>
    <row r="339" spans="1:39" x14ac:dyDescent="0.3">
      <c r="A339" s="12">
        <v>337</v>
      </c>
      <c r="B339" s="12" t="s">
        <v>26</v>
      </c>
      <c r="C339" s="13" t="s">
        <v>800</v>
      </c>
      <c r="D339" s="23" t="s">
        <v>801</v>
      </c>
      <c r="E339" s="14" t="s">
        <v>802</v>
      </c>
      <c r="F339" s="15">
        <v>0</v>
      </c>
      <c r="G339" s="16">
        <f t="shared" si="110"/>
        <v>2</v>
      </c>
      <c r="H339" s="15"/>
      <c r="I339" s="15">
        <f t="shared" si="111"/>
        <v>0</v>
      </c>
      <c r="J339" s="15"/>
      <c r="K339" s="15">
        <f t="shared" si="112"/>
        <v>0</v>
      </c>
      <c r="L339" s="15"/>
      <c r="M339" s="15">
        <f t="shared" si="113"/>
        <v>0</v>
      </c>
      <c r="N339" s="15"/>
      <c r="O339" s="15">
        <f t="shared" si="114"/>
        <v>0</v>
      </c>
      <c r="P339" s="15">
        <v>2</v>
      </c>
      <c r="Q339" s="15">
        <f t="shared" si="115"/>
        <v>0</v>
      </c>
      <c r="R339" s="15"/>
      <c r="S339" s="15">
        <f t="shared" si="116"/>
        <v>0</v>
      </c>
      <c r="T339" s="15"/>
      <c r="U339" s="15">
        <f t="shared" si="117"/>
        <v>0</v>
      </c>
      <c r="V339" s="15">
        <f t="shared" si="104"/>
        <v>0</v>
      </c>
      <c r="W339" s="17"/>
      <c r="X339" s="17"/>
      <c r="Y339" s="18">
        <v>0.01</v>
      </c>
      <c r="Z339" s="1">
        <f t="shared" si="118"/>
        <v>0</v>
      </c>
      <c r="AA339" s="21"/>
      <c r="AC339" s="21"/>
      <c r="AE339" s="19"/>
      <c r="AF339" s="20">
        <f>SUMIF('[1]G-Chart'!G:G,[1]Capacity!D339,'[1]G-Chart'!L:L)</f>
        <v>20407</v>
      </c>
      <c r="AG339" s="2">
        <f t="shared" si="105"/>
        <v>0</v>
      </c>
      <c r="AH339" s="2">
        <f t="shared" si="106"/>
        <v>0</v>
      </c>
      <c r="AI339" s="2">
        <f t="shared" si="119"/>
        <v>0</v>
      </c>
      <c r="AJ339" s="1">
        <f t="shared" si="107"/>
        <v>40814</v>
      </c>
      <c r="AK339" s="1">
        <f t="shared" si="108"/>
        <v>0</v>
      </c>
      <c r="AL339" s="1">
        <f t="shared" si="109"/>
        <v>0</v>
      </c>
      <c r="AM339" s="1">
        <f t="shared" si="100"/>
        <v>40814</v>
      </c>
    </row>
    <row r="340" spans="1:39" x14ac:dyDescent="0.3">
      <c r="A340" s="12">
        <v>338</v>
      </c>
      <c r="B340" s="12" t="s">
        <v>26</v>
      </c>
      <c r="C340" s="13" t="s">
        <v>803</v>
      </c>
      <c r="D340" s="13" t="s">
        <v>804</v>
      </c>
      <c r="E340" s="14" t="s">
        <v>805</v>
      </c>
      <c r="F340" s="15">
        <v>0</v>
      </c>
      <c r="G340" s="16">
        <f t="shared" si="110"/>
        <v>2</v>
      </c>
      <c r="H340" s="15"/>
      <c r="I340" s="15">
        <f t="shared" si="111"/>
        <v>0</v>
      </c>
      <c r="J340" s="15"/>
      <c r="K340" s="15">
        <f t="shared" si="112"/>
        <v>0</v>
      </c>
      <c r="L340" s="15"/>
      <c r="M340" s="15">
        <f t="shared" si="113"/>
        <v>0</v>
      </c>
      <c r="N340" s="15"/>
      <c r="O340" s="15">
        <f t="shared" si="114"/>
        <v>0</v>
      </c>
      <c r="P340" s="15">
        <v>2</v>
      </c>
      <c r="Q340" s="15">
        <f t="shared" si="115"/>
        <v>0</v>
      </c>
      <c r="R340" s="15"/>
      <c r="S340" s="15">
        <f t="shared" si="116"/>
        <v>0</v>
      </c>
      <c r="T340" s="15"/>
      <c r="U340" s="15">
        <f t="shared" si="117"/>
        <v>0</v>
      </c>
      <c r="V340" s="15">
        <f t="shared" si="104"/>
        <v>0</v>
      </c>
      <c r="W340" s="17"/>
      <c r="X340" s="17"/>
      <c r="Y340" s="18">
        <v>1.0999999999999999E-2</v>
      </c>
      <c r="Z340" s="1">
        <f t="shared" si="118"/>
        <v>0</v>
      </c>
      <c r="AA340" s="21"/>
      <c r="AC340" s="21"/>
      <c r="AE340" s="19"/>
      <c r="AF340" s="20">
        <f>SUMIF('[1]G-Chart'!G:G,[1]Capacity!D340,'[1]G-Chart'!L:L)</f>
        <v>-79241</v>
      </c>
      <c r="AG340" s="2">
        <f t="shared" si="105"/>
        <v>0</v>
      </c>
      <c r="AH340" s="2">
        <f t="shared" si="106"/>
        <v>0</v>
      </c>
      <c r="AI340" s="2">
        <f t="shared" si="119"/>
        <v>0</v>
      </c>
      <c r="AJ340" s="1">
        <v>0</v>
      </c>
      <c r="AK340" s="1">
        <f t="shared" si="108"/>
        <v>0</v>
      </c>
      <c r="AL340" s="1">
        <f t="shared" si="109"/>
        <v>0</v>
      </c>
      <c r="AM340" s="1">
        <f t="shared" si="100"/>
        <v>-158482</v>
      </c>
    </row>
    <row r="341" spans="1:39" x14ac:dyDescent="0.3">
      <c r="A341" s="12">
        <v>339</v>
      </c>
      <c r="B341" s="12" t="s">
        <v>26</v>
      </c>
      <c r="C341" s="13" t="s">
        <v>806</v>
      </c>
      <c r="D341" s="13" t="s">
        <v>807</v>
      </c>
      <c r="E341" s="14" t="s">
        <v>808</v>
      </c>
      <c r="F341" s="15">
        <v>0</v>
      </c>
      <c r="G341" s="16">
        <f t="shared" si="110"/>
        <v>0</v>
      </c>
      <c r="H341" s="15"/>
      <c r="I341" s="15">
        <f t="shared" si="111"/>
        <v>0</v>
      </c>
      <c r="J341" s="15"/>
      <c r="K341" s="15">
        <f t="shared" si="112"/>
        <v>0</v>
      </c>
      <c r="L341" s="15"/>
      <c r="M341" s="15">
        <f t="shared" si="113"/>
        <v>0</v>
      </c>
      <c r="N341" s="15"/>
      <c r="O341" s="15">
        <f t="shared" si="114"/>
        <v>0</v>
      </c>
      <c r="P341" s="15"/>
      <c r="Q341" s="15">
        <f t="shared" si="115"/>
        <v>0</v>
      </c>
      <c r="R341" s="15"/>
      <c r="S341" s="15">
        <f t="shared" si="116"/>
        <v>0</v>
      </c>
      <c r="T341" s="15"/>
      <c r="U341" s="15">
        <f t="shared" si="117"/>
        <v>0</v>
      </c>
      <c r="V341" s="15">
        <f t="shared" si="104"/>
        <v>0</v>
      </c>
      <c r="W341" s="17"/>
      <c r="X341" s="17"/>
      <c r="Y341" s="18"/>
      <c r="Z341" s="1">
        <f t="shared" si="118"/>
        <v>0</v>
      </c>
      <c r="AA341" s="21"/>
      <c r="AC341" s="21"/>
      <c r="AE341" s="19"/>
      <c r="AF341" s="20">
        <f>SUMIF('[1]G-Chart'!G:G,[1]Capacity!D341,'[1]G-Chart'!L:L)</f>
        <v>0</v>
      </c>
      <c r="AG341" s="2">
        <f t="shared" si="105"/>
        <v>0</v>
      </c>
      <c r="AH341" s="2">
        <f t="shared" si="106"/>
        <v>0</v>
      </c>
      <c r="AI341" s="2">
        <f t="shared" si="119"/>
        <v>0</v>
      </c>
      <c r="AJ341" s="1">
        <f t="shared" si="107"/>
        <v>0</v>
      </c>
      <c r="AK341" s="1">
        <f t="shared" si="108"/>
        <v>0</v>
      </c>
      <c r="AL341" s="1">
        <f t="shared" si="109"/>
        <v>0</v>
      </c>
      <c r="AM341" s="1">
        <f t="shared" si="100"/>
        <v>0</v>
      </c>
    </row>
    <row r="342" spans="1:39" x14ac:dyDescent="0.3">
      <c r="A342" s="12">
        <v>340</v>
      </c>
      <c r="B342" s="12" t="s">
        <v>96</v>
      </c>
      <c r="C342" s="13" t="s">
        <v>809</v>
      </c>
      <c r="D342" s="13" t="s">
        <v>809</v>
      </c>
      <c r="E342" s="14" t="s">
        <v>810</v>
      </c>
      <c r="F342" s="15">
        <v>0</v>
      </c>
      <c r="G342" s="16">
        <f t="shared" si="110"/>
        <v>4</v>
      </c>
      <c r="H342" s="15"/>
      <c r="I342" s="15">
        <f t="shared" si="111"/>
        <v>0</v>
      </c>
      <c r="J342" s="15">
        <v>3</v>
      </c>
      <c r="K342" s="15">
        <f t="shared" si="112"/>
        <v>0</v>
      </c>
      <c r="L342" s="15"/>
      <c r="M342" s="15">
        <f t="shared" si="113"/>
        <v>0</v>
      </c>
      <c r="N342" s="15">
        <v>1</v>
      </c>
      <c r="O342" s="15">
        <f t="shared" si="114"/>
        <v>0</v>
      </c>
      <c r="P342" s="15"/>
      <c r="Q342" s="15">
        <f t="shared" si="115"/>
        <v>0</v>
      </c>
      <c r="R342" s="15"/>
      <c r="S342" s="15">
        <f t="shared" si="116"/>
        <v>0</v>
      </c>
      <c r="T342" s="15"/>
      <c r="U342" s="15">
        <f t="shared" si="117"/>
        <v>0</v>
      </c>
      <c r="V342" s="15">
        <f t="shared" si="104"/>
        <v>0</v>
      </c>
      <c r="W342" s="17"/>
      <c r="X342" s="17"/>
      <c r="Y342" s="18">
        <v>0.122</v>
      </c>
      <c r="Z342" s="1">
        <f t="shared" si="118"/>
        <v>0</v>
      </c>
      <c r="AA342" s="21"/>
      <c r="AC342" s="21"/>
      <c r="AE342" s="19"/>
      <c r="AF342" s="20">
        <f>SUMIF('[1]G-Chart'!G:G,[1]Capacity!D342,'[1]G-Chart'!L:L)</f>
        <v>0</v>
      </c>
      <c r="AG342" s="2">
        <f t="shared" si="105"/>
        <v>0</v>
      </c>
      <c r="AH342" s="2">
        <f t="shared" si="106"/>
        <v>0</v>
      </c>
      <c r="AI342" s="2">
        <f t="shared" si="119"/>
        <v>0</v>
      </c>
      <c r="AJ342" s="1">
        <f t="shared" si="107"/>
        <v>0</v>
      </c>
      <c r="AK342" s="1">
        <f t="shared" si="108"/>
        <v>0</v>
      </c>
      <c r="AL342" s="1">
        <f t="shared" si="109"/>
        <v>0</v>
      </c>
      <c r="AM342" s="1">
        <f t="shared" si="100"/>
        <v>0</v>
      </c>
    </row>
    <row r="343" spans="1:39" x14ac:dyDescent="0.3">
      <c r="A343" s="12">
        <v>341</v>
      </c>
      <c r="B343" s="12" t="s">
        <v>96</v>
      </c>
      <c r="C343" s="13" t="s">
        <v>811</v>
      </c>
      <c r="D343" s="13" t="s">
        <v>811</v>
      </c>
      <c r="E343" s="14" t="s">
        <v>812</v>
      </c>
      <c r="F343" s="15">
        <v>0</v>
      </c>
      <c r="G343" s="16">
        <f t="shared" si="110"/>
        <v>0</v>
      </c>
      <c r="H343" s="15"/>
      <c r="I343" s="15">
        <f t="shared" si="111"/>
        <v>0</v>
      </c>
      <c r="J343" s="15"/>
      <c r="K343" s="15">
        <f t="shared" si="112"/>
        <v>0</v>
      </c>
      <c r="L343" s="15"/>
      <c r="M343" s="15">
        <f t="shared" si="113"/>
        <v>0</v>
      </c>
      <c r="N343" s="15"/>
      <c r="O343" s="15">
        <f t="shared" si="114"/>
        <v>0</v>
      </c>
      <c r="P343" s="15"/>
      <c r="Q343" s="15">
        <f t="shared" si="115"/>
        <v>0</v>
      </c>
      <c r="R343" s="15"/>
      <c r="S343" s="15">
        <f t="shared" si="116"/>
        <v>0</v>
      </c>
      <c r="T343" s="15"/>
      <c r="U343" s="15">
        <f t="shared" si="117"/>
        <v>0</v>
      </c>
      <c r="V343" s="15">
        <f t="shared" si="104"/>
        <v>0</v>
      </c>
      <c r="W343" s="17"/>
      <c r="X343" s="17"/>
      <c r="Y343" s="18">
        <v>0.4</v>
      </c>
      <c r="Z343" s="1">
        <f t="shared" si="118"/>
        <v>0</v>
      </c>
      <c r="AA343" s="21"/>
      <c r="AC343" s="21"/>
      <c r="AE343" s="19"/>
      <c r="AF343" s="20">
        <f>SUMIF('[1]G-Chart'!G:G,[1]Capacity!D343,'[1]G-Chart'!L:L)</f>
        <v>0</v>
      </c>
      <c r="AG343" s="2">
        <f t="shared" si="105"/>
        <v>0</v>
      </c>
      <c r="AH343" s="2">
        <f t="shared" si="106"/>
        <v>0</v>
      </c>
      <c r="AI343" s="2">
        <f t="shared" si="119"/>
        <v>0</v>
      </c>
      <c r="AJ343" s="1">
        <f t="shared" si="107"/>
        <v>0</v>
      </c>
      <c r="AK343" s="1">
        <f t="shared" si="108"/>
        <v>0</v>
      </c>
      <c r="AL343" s="1">
        <f t="shared" si="109"/>
        <v>0</v>
      </c>
      <c r="AM343" s="1">
        <f t="shared" ref="AM343:AM406" si="120">AF343*G343</f>
        <v>0</v>
      </c>
    </row>
    <row r="344" spans="1:39" x14ac:dyDescent="0.3">
      <c r="A344" s="12">
        <v>342</v>
      </c>
      <c r="B344" s="12" t="s">
        <v>96</v>
      </c>
      <c r="C344" s="13" t="s">
        <v>813</v>
      </c>
      <c r="D344" s="13" t="s">
        <v>813</v>
      </c>
      <c r="E344" s="14"/>
      <c r="F344" s="15">
        <v>0</v>
      </c>
      <c r="G344" s="16">
        <f t="shared" si="110"/>
        <v>0</v>
      </c>
      <c r="H344" s="15"/>
      <c r="I344" s="15">
        <f t="shared" si="111"/>
        <v>0</v>
      </c>
      <c r="J344" s="15"/>
      <c r="K344" s="15">
        <f t="shared" si="112"/>
        <v>0</v>
      </c>
      <c r="L344" s="15"/>
      <c r="M344" s="15">
        <f t="shared" si="113"/>
        <v>0</v>
      </c>
      <c r="N344" s="15"/>
      <c r="O344" s="15">
        <f t="shared" si="114"/>
        <v>0</v>
      </c>
      <c r="P344" s="15"/>
      <c r="Q344" s="15">
        <f t="shared" si="115"/>
        <v>0</v>
      </c>
      <c r="R344" s="15"/>
      <c r="S344" s="15">
        <f t="shared" si="116"/>
        <v>0</v>
      </c>
      <c r="T344" s="15"/>
      <c r="U344" s="15">
        <f t="shared" si="117"/>
        <v>0</v>
      </c>
      <c r="V344" s="15">
        <f t="shared" si="104"/>
        <v>0</v>
      </c>
      <c r="W344" s="17"/>
      <c r="X344" s="17"/>
      <c r="Y344" s="18">
        <v>0.39300000000000002</v>
      </c>
      <c r="Z344" s="1">
        <f t="shared" si="118"/>
        <v>0</v>
      </c>
      <c r="AA344" s="21"/>
      <c r="AC344" s="21"/>
      <c r="AE344" s="19"/>
      <c r="AF344" s="20">
        <f>SUMIF('[1]G-Chart'!G:G,[1]Capacity!D344,'[1]G-Chart'!L:L)</f>
        <v>0</v>
      </c>
      <c r="AG344" s="2">
        <f t="shared" si="105"/>
        <v>0</v>
      </c>
      <c r="AH344" s="2">
        <f t="shared" si="106"/>
        <v>0</v>
      </c>
      <c r="AI344" s="2">
        <f t="shared" si="119"/>
        <v>0</v>
      </c>
      <c r="AJ344" s="1">
        <f t="shared" si="107"/>
        <v>0</v>
      </c>
      <c r="AK344" s="1">
        <f t="shared" si="108"/>
        <v>0</v>
      </c>
      <c r="AL344" s="1">
        <f t="shared" si="109"/>
        <v>0</v>
      </c>
      <c r="AM344" s="1">
        <f t="shared" si="120"/>
        <v>0</v>
      </c>
    </row>
    <row r="345" spans="1:39" x14ac:dyDescent="0.3">
      <c r="A345" s="12">
        <v>343</v>
      </c>
      <c r="B345" s="12" t="s">
        <v>96</v>
      </c>
      <c r="C345" s="13" t="s">
        <v>814</v>
      </c>
      <c r="D345" s="13" t="s">
        <v>815</v>
      </c>
      <c r="E345" s="14" t="s">
        <v>816</v>
      </c>
      <c r="F345" s="15">
        <v>0</v>
      </c>
      <c r="G345" s="16">
        <f t="shared" si="110"/>
        <v>0</v>
      </c>
      <c r="H345" s="15"/>
      <c r="I345" s="15">
        <f t="shared" si="111"/>
        <v>0</v>
      </c>
      <c r="J345" s="15"/>
      <c r="K345" s="15">
        <f t="shared" si="112"/>
        <v>0</v>
      </c>
      <c r="L345" s="15"/>
      <c r="M345" s="15">
        <f t="shared" si="113"/>
        <v>0</v>
      </c>
      <c r="N345" s="15"/>
      <c r="O345" s="15">
        <f t="shared" si="114"/>
        <v>0</v>
      </c>
      <c r="P345" s="15"/>
      <c r="Q345" s="15">
        <f t="shared" si="115"/>
        <v>0</v>
      </c>
      <c r="R345" s="15"/>
      <c r="S345" s="15">
        <f t="shared" si="116"/>
        <v>0</v>
      </c>
      <c r="T345" s="15"/>
      <c r="U345" s="15">
        <f t="shared" si="117"/>
        <v>0</v>
      </c>
      <c r="V345" s="15">
        <f t="shared" si="104"/>
        <v>0</v>
      </c>
      <c r="W345" s="17"/>
      <c r="X345" s="17"/>
      <c r="Y345" s="18"/>
      <c r="Z345" s="1">
        <f t="shared" si="118"/>
        <v>0</v>
      </c>
      <c r="AA345" s="21"/>
      <c r="AC345" s="21"/>
      <c r="AE345" s="19"/>
      <c r="AF345" s="20">
        <f>SUMIF('[1]G-Chart'!G:G,[1]Capacity!D345,'[1]G-Chart'!L:L)</f>
        <v>0</v>
      </c>
      <c r="AG345" s="2">
        <f t="shared" si="105"/>
        <v>0</v>
      </c>
      <c r="AH345" s="2">
        <f t="shared" si="106"/>
        <v>0</v>
      </c>
      <c r="AI345" s="2">
        <f t="shared" si="119"/>
        <v>0</v>
      </c>
      <c r="AJ345" s="1">
        <f t="shared" si="107"/>
        <v>0</v>
      </c>
      <c r="AK345" s="1">
        <f t="shared" si="108"/>
        <v>0</v>
      </c>
      <c r="AL345" s="1">
        <f t="shared" si="109"/>
        <v>0</v>
      </c>
      <c r="AM345" s="1">
        <f t="shared" si="120"/>
        <v>0</v>
      </c>
    </row>
    <row r="346" spans="1:39" x14ac:dyDescent="0.3">
      <c r="A346" s="12">
        <v>344</v>
      </c>
      <c r="B346" s="12" t="s">
        <v>96</v>
      </c>
      <c r="C346" s="13" t="s">
        <v>817</v>
      </c>
      <c r="D346" s="13" t="s">
        <v>817</v>
      </c>
      <c r="E346" s="14" t="s">
        <v>818</v>
      </c>
      <c r="F346" s="15">
        <v>0</v>
      </c>
      <c r="G346" s="16">
        <f t="shared" si="110"/>
        <v>0</v>
      </c>
      <c r="H346" s="15"/>
      <c r="I346" s="15">
        <f t="shared" si="111"/>
        <v>0</v>
      </c>
      <c r="J346" s="15"/>
      <c r="K346" s="15">
        <f t="shared" si="112"/>
        <v>0</v>
      </c>
      <c r="L346" s="15"/>
      <c r="M346" s="15">
        <f t="shared" si="113"/>
        <v>0</v>
      </c>
      <c r="N346" s="15"/>
      <c r="O346" s="15">
        <f t="shared" si="114"/>
        <v>0</v>
      </c>
      <c r="P346" s="15"/>
      <c r="Q346" s="15">
        <f t="shared" si="115"/>
        <v>0</v>
      </c>
      <c r="R346" s="15"/>
      <c r="S346" s="15">
        <f t="shared" si="116"/>
        <v>0</v>
      </c>
      <c r="T346" s="15"/>
      <c r="U346" s="15">
        <f t="shared" si="117"/>
        <v>0</v>
      </c>
      <c r="V346" s="15">
        <f t="shared" si="104"/>
        <v>0</v>
      </c>
      <c r="W346" s="17"/>
      <c r="X346" s="17"/>
      <c r="Y346" s="18"/>
      <c r="Z346" s="1">
        <f t="shared" si="118"/>
        <v>0</v>
      </c>
      <c r="AA346" s="21"/>
      <c r="AC346" s="21"/>
      <c r="AE346" s="19"/>
      <c r="AF346" s="20">
        <f>SUMIF('[1]G-Chart'!G:G,[1]Capacity!D346,'[1]G-Chart'!L:L)</f>
        <v>0</v>
      </c>
      <c r="AG346" s="2">
        <f t="shared" si="105"/>
        <v>0</v>
      </c>
      <c r="AH346" s="2">
        <f t="shared" si="106"/>
        <v>0</v>
      </c>
      <c r="AI346" s="2">
        <f t="shared" si="119"/>
        <v>0</v>
      </c>
      <c r="AJ346" s="1">
        <f t="shared" si="107"/>
        <v>0</v>
      </c>
      <c r="AK346" s="1">
        <f t="shared" si="108"/>
        <v>0</v>
      </c>
      <c r="AL346" s="1">
        <f t="shared" si="109"/>
        <v>0</v>
      </c>
      <c r="AM346" s="1">
        <f t="shared" si="120"/>
        <v>0</v>
      </c>
    </row>
    <row r="347" spans="1:39" x14ac:dyDescent="0.3">
      <c r="A347" s="12">
        <v>345</v>
      </c>
      <c r="B347" s="12" t="s">
        <v>26</v>
      </c>
      <c r="C347" s="13" t="s">
        <v>819</v>
      </c>
      <c r="D347" s="13" t="s">
        <v>819</v>
      </c>
      <c r="E347" s="14" t="s">
        <v>820</v>
      </c>
      <c r="F347" s="15">
        <f>AB347</f>
        <v>0</v>
      </c>
      <c r="G347" s="16">
        <v>4</v>
      </c>
      <c r="H347" s="15"/>
      <c r="I347" s="15">
        <f t="shared" si="111"/>
        <v>0</v>
      </c>
      <c r="J347" s="15">
        <v>1</v>
      </c>
      <c r="K347" s="15">
        <f t="shared" si="112"/>
        <v>0</v>
      </c>
      <c r="L347" s="15"/>
      <c r="M347" s="15">
        <f t="shared" si="113"/>
        <v>0</v>
      </c>
      <c r="N347" s="15">
        <v>1</v>
      </c>
      <c r="O347" s="15">
        <f t="shared" si="114"/>
        <v>0</v>
      </c>
      <c r="P347" s="15">
        <v>2</v>
      </c>
      <c r="Q347" s="15">
        <f t="shared" si="115"/>
        <v>0</v>
      </c>
      <c r="R347" s="15"/>
      <c r="S347" s="15">
        <f t="shared" si="116"/>
        <v>0</v>
      </c>
      <c r="T347" s="15"/>
      <c r="U347" s="15">
        <f t="shared" si="117"/>
        <v>0</v>
      </c>
      <c r="V347" s="15">
        <f t="shared" si="104"/>
        <v>0</v>
      </c>
      <c r="W347" s="17"/>
      <c r="X347" s="17"/>
      <c r="Y347" s="18">
        <v>0.19700000000000001</v>
      </c>
      <c r="Z347" s="1">
        <f t="shared" si="118"/>
        <v>0</v>
      </c>
      <c r="AA347" s="21"/>
      <c r="AB347" s="1">
        <f>AD347</f>
        <v>0</v>
      </c>
      <c r="AC347" s="21"/>
      <c r="AE347" s="19"/>
      <c r="AF347" s="20">
        <f>SUMIF('[1]G-Chart'!G:G,[1]Capacity!D347,'[1]G-Chart'!L:L)</f>
        <v>0</v>
      </c>
      <c r="AG347" s="2">
        <f t="shared" si="105"/>
        <v>0</v>
      </c>
      <c r="AH347" s="2">
        <f t="shared" si="106"/>
        <v>0</v>
      </c>
      <c r="AI347" s="2">
        <f t="shared" si="119"/>
        <v>0</v>
      </c>
      <c r="AJ347" s="1">
        <f t="shared" si="107"/>
        <v>0</v>
      </c>
      <c r="AK347" s="1">
        <f t="shared" si="108"/>
        <v>0</v>
      </c>
      <c r="AL347" s="1">
        <f t="shared" si="109"/>
        <v>0</v>
      </c>
      <c r="AM347" s="1">
        <f t="shared" si="120"/>
        <v>0</v>
      </c>
    </row>
    <row r="348" spans="1:39" x14ac:dyDescent="0.3">
      <c r="A348" s="12">
        <v>346</v>
      </c>
      <c r="B348" s="12" t="s">
        <v>26</v>
      </c>
      <c r="C348" s="13" t="s">
        <v>821</v>
      </c>
      <c r="D348" s="13" t="s">
        <v>821</v>
      </c>
      <c r="E348" s="14" t="s">
        <v>822</v>
      </c>
      <c r="F348" s="15">
        <f>AB348</f>
        <v>0</v>
      </c>
      <c r="G348" s="16">
        <v>4</v>
      </c>
      <c r="H348" s="15"/>
      <c r="I348" s="15">
        <f t="shared" si="111"/>
        <v>0</v>
      </c>
      <c r="J348" s="15">
        <v>1</v>
      </c>
      <c r="K348" s="15">
        <f t="shared" si="112"/>
        <v>0</v>
      </c>
      <c r="L348" s="15"/>
      <c r="M348" s="15">
        <f t="shared" si="113"/>
        <v>0</v>
      </c>
      <c r="N348" s="15">
        <v>1</v>
      </c>
      <c r="O348" s="15">
        <f t="shared" si="114"/>
        <v>0</v>
      </c>
      <c r="P348" s="15">
        <v>2</v>
      </c>
      <c r="Q348" s="15">
        <f t="shared" si="115"/>
        <v>0</v>
      </c>
      <c r="R348" s="15"/>
      <c r="S348" s="15">
        <f t="shared" si="116"/>
        <v>0</v>
      </c>
      <c r="T348" s="15"/>
      <c r="U348" s="15">
        <f t="shared" si="117"/>
        <v>0</v>
      </c>
      <c r="V348" s="15">
        <f t="shared" si="104"/>
        <v>0</v>
      </c>
      <c r="W348" s="17"/>
      <c r="X348" s="17"/>
      <c r="Y348" s="18">
        <v>0.19900000000000001</v>
      </c>
      <c r="Z348" s="1">
        <f t="shared" si="118"/>
        <v>0</v>
      </c>
      <c r="AA348" s="21"/>
      <c r="AB348" s="1">
        <f>AD348</f>
        <v>0</v>
      </c>
      <c r="AC348" s="21"/>
      <c r="AE348" s="19"/>
      <c r="AF348" s="20">
        <f>SUMIF('[1]G-Chart'!G:G,[1]Capacity!D348,'[1]G-Chart'!L:L)</f>
        <v>0</v>
      </c>
      <c r="AG348" s="2">
        <f t="shared" si="105"/>
        <v>0</v>
      </c>
      <c r="AH348" s="2">
        <f t="shared" si="106"/>
        <v>0</v>
      </c>
      <c r="AI348" s="2">
        <f t="shared" si="119"/>
        <v>0</v>
      </c>
      <c r="AJ348" s="1">
        <f t="shared" si="107"/>
        <v>0</v>
      </c>
      <c r="AK348" s="1">
        <f t="shared" si="108"/>
        <v>0</v>
      </c>
      <c r="AL348" s="1">
        <f t="shared" si="109"/>
        <v>0</v>
      </c>
      <c r="AM348" s="1">
        <f t="shared" si="120"/>
        <v>0</v>
      </c>
    </row>
    <row r="349" spans="1:39" x14ac:dyDescent="0.3">
      <c r="A349" s="12">
        <v>347</v>
      </c>
      <c r="B349" s="12" t="s">
        <v>26</v>
      </c>
      <c r="C349" s="13" t="s">
        <v>823</v>
      </c>
      <c r="D349" s="22" t="s">
        <v>824</v>
      </c>
      <c r="E349" s="14" t="s">
        <v>825</v>
      </c>
      <c r="F349" s="15">
        <f>AB349</f>
        <v>0</v>
      </c>
      <c r="G349" s="16">
        <f t="shared" si="110"/>
        <v>1.5</v>
      </c>
      <c r="H349" s="15"/>
      <c r="I349" s="15">
        <f t="shared" si="111"/>
        <v>0</v>
      </c>
      <c r="J349" s="15">
        <v>1.5</v>
      </c>
      <c r="K349" s="15">
        <f t="shared" si="112"/>
        <v>0</v>
      </c>
      <c r="L349" s="15"/>
      <c r="M349" s="15">
        <f t="shared" si="113"/>
        <v>0</v>
      </c>
      <c r="N349" s="15"/>
      <c r="O349" s="15">
        <f t="shared" si="114"/>
        <v>0</v>
      </c>
      <c r="P349" s="15"/>
      <c r="Q349" s="15">
        <f t="shared" si="115"/>
        <v>0</v>
      </c>
      <c r="R349" s="15"/>
      <c r="S349" s="15">
        <f t="shared" si="116"/>
        <v>0</v>
      </c>
      <c r="T349" s="15"/>
      <c r="U349" s="15">
        <f t="shared" si="117"/>
        <v>0</v>
      </c>
      <c r="V349" s="15">
        <f t="shared" si="104"/>
        <v>0</v>
      </c>
      <c r="W349" s="17"/>
      <c r="X349" s="17"/>
      <c r="Y349" s="18">
        <v>0.122</v>
      </c>
      <c r="Z349" s="1">
        <f t="shared" si="118"/>
        <v>0</v>
      </c>
      <c r="AA349" s="21"/>
      <c r="AB349" s="1">
        <f>AD349</f>
        <v>0</v>
      </c>
      <c r="AC349" s="21"/>
      <c r="AE349" s="19"/>
      <c r="AF349" s="20">
        <f>SUMIF('[1]G-Chart'!G:G,[1]Capacity!D349,'[1]G-Chart'!L:L)</f>
        <v>55</v>
      </c>
      <c r="AG349" s="2">
        <f t="shared" si="105"/>
        <v>82.5</v>
      </c>
      <c r="AH349" s="2">
        <f t="shared" si="106"/>
        <v>0</v>
      </c>
      <c r="AI349" s="2">
        <f t="shared" si="119"/>
        <v>0</v>
      </c>
      <c r="AJ349" s="1">
        <f t="shared" si="107"/>
        <v>0</v>
      </c>
      <c r="AK349" s="1">
        <f t="shared" si="108"/>
        <v>0</v>
      </c>
      <c r="AL349" s="1">
        <f t="shared" si="109"/>
        <v>0</v>
      </c>
      <c r="AM349" s="1">
        <f t="shared" si="120"/>
        <v>82.5</v>
      </c>
    </row>
    <row r="350" spans="1:39" x14ac:dyDescent="0.3">
      <c r="A350" s="12">
        <v>348</v>
      </c>
      <c r="B350" s="12" t="s">
        <v>26</v>
      </c>
      <c r="C350" s="13" t="s">
        <v>826</v>
      </c>
      <c r="D350" s="22" t="s">
        <v>827</v>
      </c>
      <c r="E350" s="14" t="s">
        <v>828</v>
      </c>
      <c r="F350" s="15">
        <f>AB350</f>
        <v>0</v>
      </c>
      <c r="G350" s="16">
        <f t="shared" si="110"/>
        <v>1.5</v>
      </c>
      <c r="H350" s="15"/>
      <c r="I350" s="15">
        <f t="shared" si="111"/>
        <v>0</v>
      </c>
      <c r="J350" s="15">
        <v>1.5</v>
      </c>
      <c r="K350" s="15">
        <f t="shared" si="112"/>
        <v>0</v>
      </c>
      <c r="L350" s="15"/>
      <c r="M350" s="15">
        <f t="shared" si="113"/>
        <v>0</v>
      </c>
      <c r="N350" s="15"/>
      <c r="O350" s="15">
        <f t="shared" si="114"/>
        <v>0</v>
      </c>
      <c r="P350" s="15"/>
      <c r="Q350" s="15">
        <f t="shared" si="115"/>
        <v>0</v>
      </c>
      <c r="R350" s="15"/>
      <c r="S350" s="15">
        <f t="shared" si="116"/>
        <v>0</v>
      </c>
      <c r="T350" s="15"/>
      <c r="U350" s="15">
        <f t="shared" si="117"/>
        <v>0</v>
      </c>
      <c r="V350" s="15">
        <f t="shared" si="104"/>
        <v>0</v>
      </c>
      <c r="W350" s="17"/>
      <c r="X350" s="17"/>
      <c r="Y350" s="18">
        <v>0.125</v>
      </c>
      <c r="Z350" s="1">
        <f t="shared" si="118"/>
        <v>0</v>
      </c>
      <c r="AA350" s="21"/>
      <c r="AB350" s="1">
        <f>AD350</f>
        <v>0</v>
      </c>
      <c r="AC350" s="21"/>
      <c r="AE350" s="19"/>
      <c r="AF350" s="20">
        <f>SUMIF('[1]G-Chart'!G:G,[1]Capacity!D350,'[1]G-Chart'!L:L)</f>
        <v>368</v>
      </c>
      <c r="AG350" s="2">
        <f t="shared" si="105"/>
        <v>552</v>
      </c>
      <c r="AH350" s="2">
        <f t="shared" si="106"/>
        <v>0</v>
      </c>
      <c r="AI350" s="2">
        <f t="shared" si="119"/>
        <v>0</v>
      </c>
      <c r="AJ350" s="1">
        <f t="shared" si="107"/>
        <v>0</v>
      </c>
      <c r="AK350" s="1">
        <f t="shared" si="108"/>
        <v>0</v>
      </c>
      <c r="AL350" s="1">
        <f t="shared" si="109"/>
        <v>0</v>
      </c>
      <c r="AM350" s="1">
        <f t="shared" si="120"/>
        <v>552</v>
      </c>
    </row>
    <row r="351" spans="1:39" x14ac:dyDescent="0.3">
      <c r="A351" s="12">
        <v>349</v>
      </c>
      <c r="B351" s="12" t="s">
        <v>26</v>
      </c>
      <c r="C351" s="13" t="s">
        <v>829</v>
      </c>
      <c r="D351" s="13" t="s">
        <v>829</v>
      </c>
      <c r="E351" s="14" t="s">
        <v>830</v>
      </c>
      <c r="F351" s="15">
        <f>AB351</f>
        <v>0</v>
      </c>
      <c r="G351" s="16">
        <f t="shared" si="110"/>
        <v>4</v>
      </c>
      <c r="H351" s="15"/>
      <c r="I351" s="15">
        <f t="shared" si="111"/>
        <v>0</v>
      </c>
      <c r="J351" s="15"/>
      <c r="K351" s="15">
        <f t="shared" si="112"/>
        <v>0</v>
      </c>
      <c r="L351" s="15"/>
      <c r="M351" s="15">
        <f t="shared" si="113"/>
        <v>0</v>
      </c>
      <c r="N351" s="15">
        <v>3</v>
      </c>
      <c r="O351" s="15">
        <f t="shared" si="114"/>
        <v>0</v>
      </c>
      <c r="P351" s="15"/>
      <c r="Q351" s="15">
        <f t="shared" si="115"/>
        <v>0</v>
      </c>
      <c r="R351" s="15">
        <v>1</v>
      </c>
      <c r="S351" s="15">
        <f t="shared" si="116"/>
        <v>0</v>
      </c>
      <c r="T351" s="15"/>
      <c r="U351" s="15">
        <f t="shared" si="117"/>
        <v>0</v>
      </c>
      <c r="V351" s="15">
        <f t="shared" si="104"/>
        <v>0</v>
      </c>
      <c r="W351" s="17"/>
      <c r="X351" s="17"/>
      <c r="Y351" s="18">
        <v>0.14799999999999999</v>
      </c>
      <c r="Z351" s="1">
        <f t="shared" si="118"/>
        <v>0</v>
      </c>
      <c r="AA351" s="21"/>
      <c r="AB351" s="1">
        <v>0</v>
      </c>
      <c r="AC351" s="21"/>
      <c r="AE351" s="19"/>
      <c r="AF351" s="20">
        <f>SUMIF('[1]G-Chart'!G:G,[1]Capacity!D351,'[1]G-Chart'!L:L)</f>
        <v>0</v>
      </c>
      <c r="AG351" s="2">
        <f t="shared" si="105"/>
        <v>0</v>
      </c>
      <c r="AH351" s="2">
        <f t="shared" si="106"/>
        <v>0</v>
      </c>
      <c r="AI351" s="2">
        <f t="shared" si="119"/>
        <v>0</v>
      </c>
      <c r="AJ351" s="1">
        <f t="shared" si="107"/>
        <v>0</v>
      </c>
      <c r="AK351" s="1">
        <f t="shared" si="108"/>
        <v>0</v>
      </c>
      <c r="AL351" s="1">
        <f t="shared" si="109"/>
        <v>0</v>
      </c>
      <c r="AM351" s="1">
        <f t="shared" si="120"/>
        <v>0</v>
      </c>
    </row>
    <row r="352" spans="1:39" x14ac:dyDescent="0.3">
      <c r="A352" s="12">
        <v>350</v>
      </c>
      <c r="B352" s="12" t="s">
        <v>26</v>
      </c>
      <c r="C352" s="13" t="s">
        <v>831</v>
      </c>
      <c r="D352" s="13" t="s">
        <v>832</v>
      </c>
      <c r="E352" s="14" t="s">
        <v>833</v>
      </c>
      <c r="F352" s="15">
        <v>0</v>
      </c>
      <c r="G352" s="16">
        <f t="shared" si="110"/>
        <v>3</v>
      </c>
      <c r="H352" s="15"/>
      <c r="I352" s="15">
        <f t="shared" si="111"/>
        <v>0</v>
      </c>
      <c r="J352" s="15"/>
      <c r="K352" s="15">
        <f t="shared" si="112"/>
        <v>0</v>
      </c>
      <c r="L352" s="15"/>
      <c r="M352" s="15">
        <f t="shared" si="113"/>
        <v>0</v>
      </c>
      <c r="N352" s="15">
        <v>2</v>
      </c>
      <c r="O352" s="15">
        <f t="shared" si="114"/>
        <v>0</v>
      </c>
      <c r="P352" s="15"/>
      <c r="Q352" s="15">
        <f t="shared" si="115"/>
        <v>0</v>
      </c>
      <c r="R352" s="15"/>
      <c r="S352" s="15">
        <f t="shared" si="116"/>
        <v>0</v>
      </c>
      <c r="T352" s="15">
        <v>1</v>
      </c>
      <c r="U352" s="15">
        <f t="shared" si="117"/>
        <v>0</v>
      </c>
      <c r="V352" s="15">
        <f t="shared" si="104"/>
        <v>0</v>
      </c>
      <c r="W352" s="17"/>
      <c r="X352" s="17"/>
      <c r="Y352" s="18">
        <v>0.15</v>
      </c>
      <c r="Z352" s="1">
        <f t="shared" si="118"/>
        <v>0</v>
      </c>
      <c r="AA352" s="21"/>
      <c r="AC352" s="21"/>
      <c r="AE352" s="19"/>
      <c r="AF352" s="20">
        <f>SUMIF('[1]G-Chart'!G:G,[1]Capacity!D352,'[1]G-Chart'!L:L)</f>
        <v>0</v>
      </c>
      <c r="AG352" s="2">
        <f t="shared" si="105"/>
        <v>0</v>
      </c>
      <c r="AH352" s="2">
        <f t="shared" si="106"/>
        <v>0</v>
      </c>
      <c r="AI352" s="2">
        <f t="shared" si="119"/>
        <v>0</v>
      </c>
      <c r="AJ352" s="1">
        <f t="shared" si="107"/>
        <v>0</v>
      </c>
      <c r="AK352" s="1">
        <f t="shared" si="108"/>
        <v>0</v>
      </c>
      <c r="AL352" s="1">
        <f t="shared" si="109"/>
        <v>0</v>
      </c>
      <c r="AM352" s="1">
        <f t="shared" si="120"/>
        <v>0</v>
      </c>
    </row>
    <row r="353" spans="1:39" x14ac:dyDescent="0.3">
      <c r="A353" s="12">
        <v>351</v>
      </c>
      <c r="B353" s="12" t="s">
        <v>26</v>
      </c>
      <c r="C353" s="13" t="s">
        <v>834</v>
      </c>
      <c r="D353" s="13" t="s">
        <v>835</v>
      </c>
      <c r="E353" s="14" t="s">
        <v>836</v>
      </c>
      <c r="F353" s="15">
        <v>0</v>
      </c>
      <c r="G353" s="16">
        <f t="shared" si="110"/>
        <v>2</v>
      </c>
      <c r="H353" s="15"/>
      <c r="I353" s="15">
        <f t="shared" si="111"/>
        <v>0</v>
      </c>
      <c r="J353" s="15"/>
      <c r="K353" s="15">
        <f t="shared" si="112"/>
        <v>0</v>
      </c>
      <c r="L353" s="15"/>
      <c r="M353" s="15">
        <f t="shared" si="113"/>
        <v>0</v>
      </c>
      <c r="N353" s="15"/>
      <c r="O353" s="15">
        <f t="shared" si="114"/>
        <v>0</v>
      </c>
      <c r="P353" s="15">
        <v>2</v>
      </c>
      <c r="Q353" s="15">
        <f t="shared" si="115"/>
        <v>0</v>
      </c>
      <c r="R353" s="15"/>
      <c r="S353" s="15">
        <f t="shared" si="116"/>
        <v>0</v>
      </c>
      <c r="T353" s="15"/>
      <c r="U353" s="15">
        <f t="shared" si="117"/>
        <v>0</v>
      </c>
      <c r="V353" s="15">
        <f t="shared" si="104"/>
        <v>0</v>
      </c>
      <c r="W353" s="17"/>
      <c r="X353" s="17"/>
      <c r="Y353" s="18">
        <v>5.3999999999999999E-2</v>
      </c>
      <c r="Z353" s="1">
        <f t="shared" si="118"/>
        <v>0</v>
      </c>
      <c r="AA353" s="21"/>
      <c r="AC353" s="21"/>
      <c r="AE353" s="19"/>
      <c r="AF353" s="20">
        <f>SUMIF('[1]G-Chart'!G:G,[1]Capacity!D353,'[1]G-Chart'!L:L)</f>
        <v>0</v>
      </c>
      <c r="AG353" s="2">
        <f t="shared" si="105"/>
        <v>0</v>
      </c>
      <c r="AH353" s="2">
        <f t="shared" si="106"/>
        <v>0</v>
      </c>
      <c r="AI353" s="2">
        <f t="shared" si="119"/>
        <v>0</v>
      </c>
      <c r="AJ353" s="1">
        <f t="shared" si="107"/>
        <v>0</v>
      </c>
      <c r="AK353" s="1">
        <f t="shared" si="108"/>
        <v>0</v>
      </c>
      <c r="AL353" s="1">
        <f t="shared" si="109"/>
        <v>0</v>
      </c>
      <c r="AM353" s="1">
        <f t="shared" si="120"/>
        <v>0</v>
      </c>
    </row>
    <row r="354" spans="1:39" x14ac:dyDescent="0.3">
      <c r="A354" s="12">
        <v>352</v>
      </c>
      <c r="B354" s="12" t="s">
        <v>26</v>
      </c>
      <c r="C354" s="13" t="s">
        <v>837</v>
      </c>
      <c r="D354" s="13" t="s">
        <v>837</v>
      </c>
      <c r="E354" s="14" t="s">
        <v>838</v>
      </c>
      <c r="F354" s="15">
        <v>0</v>
      </c>
      <c r="G354" s="16">
        <f t="shared" si="110"/>
        <v>2.5</v>
      </c>
      <c r="H354" s="15"/>
      <c r="I354" s="15">
        <f t="shared" si="111"/>
        <v>0</v>
      </c>
      <c r="J354" s="15">
        <v>2</v>
      </c>
      <c r="K354" s="15">
        <f t="shared" si="112"/>
        <v>0</v>
      </c>
      <c r="L354" s="15"/>
      <c r="M354" s="15">
        <f t="shared" si="113"/>
        <v>0</v>
      </c>
      <c r="N354" s="15">
        <v>0.5</v>
      </c>
      <c r="O354" s="15">
        <f t="shared" si="114"/>
        <v>0</v>
      </c>
      <c r="P354" s="15"/>
      <c r="Q354" s="15">
        <f t="shared" si="115"/>
        <v>0</v>
      </c>
      <c r="R354" s="15"/>
      <c r="S354" s="15">
        <f t="shared" si="116"/>
        <v>0</v>
      </c>
      <c r="T354" s="15"/>
      <c r="U354" s="15">
        <f t="shared" si="117"/>
        <v>0</v>
      </c>
      <c r="V354" s="15">
        <f t="shared" si="104"/>
        <v>0</v>
      </c>
      <c r="W354" s="17"/>
      <c r="X354" s="17"/>
      <c r="Y354" s="18">
        <v>0.34</v>
      </c>
      <c r="Z354" s="1">
        <f t="shared" si="118"/>
        <v>0</v>
      </c>
      <c r="AA354" s="21"/>
      <c r="AC354" s="21"/>
      <c r="AE354" s="19"/>
      <c r="AF354" s="20">
        <f>SUMIF('[1]G-Chart'!G:G,[1]Capacity!D354,'[1]G-Chart'!L:L)</f>
        <v>0</v>
      </c>
      <c r="AG354" s="2">
        <f t="shared" si="105"/>
        <v>0</v>
      </c>
      <c r="AH354" s="2">
        <f t="shared" si="106"/>
        <v>0</v>
      </c>
      <c r="AI354" s="2">
        <f t="shared" si="119"/>
        <v>0</v>
      </c>
      <c r="AJ354" s="1">
        <f t="shared" si="107"/>
        <v>0</v>
      </c>
      <c r="AK354" s="1">
        <f t="shared" si="108"/>
        <v>0</v>
      </c>
      <c r="AL354" s="1">
        <f t="shared" si="109"/>
        <v>0</v>
      </c>
      <c r="AM354" s="1">
        <f t="shared" si="120"/>
        <v>0</v>
      </c>
    </row>
    <row r="355" spans="1:39" x14ac:dyDescent="0.3">
      <c r="A355" s="12">
        <v>353</v>
      </c>
      <c r="B355" s="12" t="s">
        <v>26</v>
      </c>
      <c r="C355" s="13" t="s">
        <v>839</v>
      </c>
      <c r="D355" s="13" t="s">
        <v>839</v>
      </c>
      <c r="E355" s="14" t="s">
        <v>840</v>
      </c>
      <c r="F355" s="15">
        <v>0</v>
      </c>
      <c r="G355" s="16">
        <f t="shared" si="110"/>
        <v>2.5</v>
      </c>
      <c r="H355" s="15"/>
      <c r="I355" s="15">
        <f t="shared" si="111"/>
        <v>0</v>
      </c>
      <c r="J355" s="15">
        <v>2</v>
      </c>
      <c r="K355" s="15">
        <f t="shared" si="112"/>
        <v>0</v>
      </c>
      <c r="L355" s="15"/>
      <c r="M355" s="15">
        <f t="shared" si="113"/>
        <v>0</v>
      </c>
      <c r="N355" s="15">
        <v>0.5</v>
      </c>
      <c r="O355" s="15">
        <f t="shared" si="114"/>
        <v>0</v>
      </c>
      <c r="P355" s="15"/>
      <c r="Q355" s="15">
        <f t="shared" si="115"/>
        <v>0</v>
      </c>
      <c r="R355" s="15"/>
      <c r="S355" s="15">
        <f t="shared" si="116"/>
        <v>0</v>
      </c>
      <c r="T355" s="15"/>
      <c r="U355" s="15">
        <f t="shared" si="117"/>
        <v>0</v>
      </c>
      <c r="V355" s="15">
        <f t="shared" si="104"/>
        <v>0</v>
      </c>
      <c r="W355" s="17"/>
      <c r="X355" s="17"/>
      <c r="Y355" s="18">
        <v>0.34</v>
      </c>
      <c r="Z355" s="1">
        <f t="shared" si="118"/>
        <v>0</v>
      </c>
      <c r="AA355" s="21"/>
      <c r="AC355" s="21"/>
      <c r="AE355" s="19"/>
      <c r="AF355" s="20">
        <f>SUMIF('[1]G-Chart'!G:G,[1]Capacity!D355,'[1]G-Chart'!L:L)</f>
        <v>0</v>
      </c>
      <c r="AG355" s="2">
        <f t="shared" si="105"/>
        <v>0</v>
      </c>
      <c r="AH355" s="2">
        <f t="shared" si="106"/>
        <v>0</v>
      </c>
      <c r="AI355" s="2">
        <f t="shared" si="119"/>
        <v>0</v>
      </c>
      <c r="AJ355" s="1">
        <f t="shared" si="107"/>
        <v>0</v>
      </c>
      <c r="AK355" s="1">
        <f t="shared" si="108"/>
        <v>0</v>
      </c>
      <c r="AL355" s="1">
        <f t="shared" si="109"/>
        <v>0</v>
      </c>
      <c r="AM355" s="1">
        <f t="shared" si="120"/>
        <v>0</v>
      </c>
    </row>
    <row r="356" spans="1:39" x14ac:dyDescent="0.3">
      <c r="A356" s="12">
        <v>354</v>
      </c>
      <c r="B356" s="12" t="s">
        <v>96</v>
      </c>
      <c r="C356" s="13" t="s">
        <v>841</v>
      </c>
      <c r="D356" s="13" t="s">
        <v>841</v>
      </c>
      <c r="E356" s="14" t="s">
        <v>842</v>
      </c>
      <c r="F356" s="15">
        <v>0</v>
      </c>
      <c r="G356" s="16">
        <f t="shared" si="110"/>
        <v>0</v>
      </c>
      <c r="H356" s="15"/>
      <c r="I356" s="15">
        <f t="shared" si="111"/>
        <v>0</v>
      </c>
      <c r="J356" s="15"/>
      <c r="K356" s="15">
        <f t="shared" si="112"/>
        <v>0</v>
      </c>
      <c r="L356" s="15"/>
      <c r="M356" s="15">
        <f t="shared" si="113"/>
        <v>0</v>
      </c>
      <c r="N356" s="15"/>
      <c r="O356" s="15">
        <f t="shared" si="114"/>
        <v>0</v>
      </c>
      <c r="P356" s="15"/>
      <c r="Q356" s="15">
        <f t="shared" si="115"/>
        <v>0</v>
      </c>
      <c r="R356" s="15"/>
      <c r="S356" s="15">
        <f t="shared" si="116"/>
        <v>0</v>
      </c>
      <c r="T356" s="15"/>
      <c r="U356" s="15">
        <f t="shared" si="117"/>
        <v>0</v>
      </c>
      <c r="V356" s="15">
        <f t="shared" si="104"/>
        <v>0</v>
      </c>
      <c r="W356" s="17"/>
      <c r="X356" s="17"/>
      <c r="Y356" s="18">
        <v>1.1659999999999999</v>
      </c>
      <c r="Z356" s="1">
        <f t="shared" si="118"/>
        <v>0</v>
      </c>
      <c r="AA356" s="21"/>
      <c r="AC356" s="21"/>
      <c r="AE356" s="19"/>
      <c r="AF356" s="20">
        <f>SUMIF('[1]G-Chart'!G:G,[1]Capacity!D356,'[1]G-Chart'!L:L)</f>
        <v>0</v>
      </c>
      <c r="AG356" s="2">
        <f t="shared" si="105"/>
        <v>0</v>
      </c>
      <c r="AH356" s="2">
        <f t="shared" si="106"/>
        <v>0</v>
      </c>
      <c r="AI356" s="2">
        <f t="shared" si="119"/>
        <v>0</v>
      </c>
      <c r="AJ356" s="1">
        <f t="shared" si="107"/>
        <v>0</v>
      </c>
      <c r="AK356" s="1">
        <f t="shared" si="108"/>
        <v>0</v>
      </c>
      <c r="AL356" s="1">
        <f t="shared" si="109"/>
        <v>0</v>
      </c>
      <c r="AM356" s="1">
        <f t="shared" si="120"/>
        <v>0</v>
      </c>
    </row>
    <row r="357" spans="1:39" x14ac:dyDescent="0.3">
      <c r="A357" s="12">
        <v>355</v>
      </c>
      <c r="B357" s="12" t="s">
        <v>26</v>
      </c>
      <c r="C357" s="13" t="s">
        <v>843</v>
      </c>
      <c r="D357" s="13" t="s">
        <v>843</v>
      </c>
      <c r="E357" s="14" t="s">
        <v>844</v>
      </c>
      <c r="F357" s="15">
        <f>AB357</f>
        <v>0</v>
      </c>
      <c r="G357" s="16">
        <f t="shared" si="110"/>
        <v>3</v>
      </c>
      <c r="H357" s="15"/>
      <c r="I357" s="15">
        <f t="shared" si="111"/>
        <v>0</v>
      </c>
      <c r="J357" s="15">
        <v>3</v>
      </c>
      <c r="K357" s="15">
        <f t="shared" si="112"/>
        <v>0</v>
      </c>
      <c r="L357" s="15"/>
      <c r="M357" s="15">
        <f t="shared" si="113"/>
        <v>0</v>
      </c>
      <c r="N357" s="15"/>
      <c r="O357" s="15">
        <f t="shared" si="114"/>
        <v>0</v>
      </c>
      <c r="P357" s="15"/>
      <c r="Q357" s="15">
        <f t="shared" si="115"/>
        <v>0</v>
      </c>
      <c r="R357" s="15"/>
      <c r="S357" s="15">
        <f t="shared" si="116"/>
        <v>0</v>
      </c>
      <c r="T357" s="15"/>
      <c r="U357" s="15">
        <f t="shared" si="117"/>
        <v>0</v>
      </c>
      <c r="V357" s="15">
        <f t="shared" si="104"/>
        <v>0</v>
      </c>
      <c r="W357" s="17"/>
      <c r="X357" s="17"/>
      <c r="Y357" s="18">
        <v>0.67900000000000005</v>
      </c>
      <c r="Z357" s="1">
        <f t="shared" si="118"/>
        <v>0</v>
      </c>
      <c r="AA357" s="21"/>
      <c r="AB357" s="1">
        <v>0</v>
      </c>
      <c r="AC357" s="21"/>
      <c r="AE357" s="19"/>
      <c r="AF357" s="20">
        <f>SUMIF('[1]G-Chart'!G:G,[1]Capacity!D357,'[1]G-Chart'!L:L)</f>
        <v>313</v>
      </c>
      <c r="AG357" s="2">
        <f t="shared" si="105"/>
        <v>939</v>
      </c>
      <c r="AH357" s="2">
        <f t="shared" si="106"/>
        <v>0</v>
      </c>
      <c r="AI357" s="2">
        <f t="shared" si="119"/>
        <v>0</v>
      </c>
      <c r="AJ357" s="1">
        <f t="shared" si="107"/>
        <v>0</v>
      </c>
      <c r="AK357" s="1">
        <f t="shared" si="108"/>
        <v>0</v>
      </c>
      <c r="AL357" s="1">
        <f t="shared" si="109"/>
        <v>0</v>
      </c>
      <c r="AM357" s="1">
        <f t="shared" si="120"/>
        <v>939</v>
      </c>
    </row>
    <row r="358" spans="1:39" x14ac:dyDescent="0.3">
      <c r="A358" s="12">
        <v>356</v>
      </c>
      <c r="B358" s="12" t="s">
        <v>26</v>
      </c>
      <c r="C358" s="13" t="s">
        <v>845</v>
      </c>
      <c r="D358" s="13" t="s">
        <v>846</v>
      </c>
      <c r="E358" s="14" t="s">
        <v>847</v>
      </c>
      <c r="F358" s="15">
        <v>0</v>
      </c>
      <c r="G358" s="16">
        <f t="shared" si="110"/>
        <v>1.5</v>
      </c>
      <c r="H358" s="15"/>
      <c r="I358" s="15">
        <f t="shared" si="111"/>
        <v>0</v>
      </c>
      <c r="J358" s="15">
        <v>0.5</v>
      </c>
      <c r="K358" s="15">
        <f t="shared" si="112"/>
        <v>0</v>
      </c>
      <c r="L358" s="15"/>
      <c r="M358" s="15">
        <f t="shared" si="113"/>
        <v>0</v>
      </c>
      <c r="N358" s="15">
        <v>1</v>
      </c>
      <c r="O358" s="15">
        <f t="shared" si="114"/>
        <v>0</v>
      </c>
      <c r="P358" s="15"/>
      <c r="Q358" s="15">
        <f t="shared" si="115"/>
        <v>0</v>
      </c>
      <c r="R358" s="15"/>
      <c r="S358" s="15">
        <f t="shared" si="116"/>
        <v>0</v>
      </c>
      <c r="T358" s="15"/>
      <c r="U358" s="15">
        <f t="shared" si="117"/>
        <v>0</v>
      </c>
      <c r="V358" s="15">
        <f t="shared" si="104"/>
        <v>0</v>
      </c>
      <c r="W358" s="17"/>
      <c r="X358" s="17"/>
      <c r="Y358" s="18">
        <v>0.17399999999999999</v>
      </c>
      <c r="Z358" s="1">
        <f t="shared" si="118"/>
        <v>0</v>
      </c>
      <c r="AA358" s="21"/>
      <c r="AC358" s="21"/>
      <c r="AE358" s="19"/>
      <c r="AF358" s="20">
        <f>SUMIF('[1]G-Chart'!G:G,[1]Capacity!D358,'[1]G-Chart'!L:L)</f>
        <v>0</v>
      </c>
      <c r="AG358" s="2">
        <f t="shared" si="105"/>
        <v>0</v>
      </c>
      <c r="AH358" s="2">
        <f t="shared" si="106"/>
        <v>0</v>
      </c>
      <c r="AI358" s="2">
        <f t="shared" si="119"/>
        <v>0</v>
      </c>
      <c r="AJ358" s="1">
        <f t="shared" si="107"/>
        <v>0</v>
      </c>
      <c r="AK358" s="1">
        <f t="shared" si="108"/>
        <v>0</v>
      </c>
      <c r="AL358" s="1">
        <f t="shared" si="109"/>
        <v>0</v>
      </c>
      <c r="AM358" s="1">
        <f t="shared" si="120"/>
        <v>0</v>
      </c>
    </row>
    <row r="359" spans="1:39" x14ac:dyDescent="0.3">
      <c r="A359" s="12">
        <v>357</v>
      </c>
      <c r="B359" s="12" t="s">
        <v>26</v>
      </c>
      <c r="C359" s="13" t="s">
        <v>848</v>
      </c>
      <c r="D359" s="13" t="s">
        <v>849</v>
      </c>
      <c r="E359" s="14" t="s">
        <v>818</v>
      </c>
      <c r="F359" s="15">
        <v>0</v>
      </c>
      <c r="G359" s="16">
        <f t="shared" si="110"/>
        <v>0</v>
      </c>
      <c r="H359" s="15"/>
      <c r="I359" s="15">
        <f t="shared" si="111"/>
        <v>0</v>
      </c>
      <c r="J359" s="15"/>
      <c r="K359" s="15">
        <f t="shared" si="112"/>
        <v>0</v>
      </c>
      <c r="L359" s="15"/>
      <c r="M359" s="15">
        <f t="shared" si="113"/>
        <v>0</v>
      </c>
      <c r="N359" s="15"/>
      <c r="O359" s="15">
        <f t="shared" si="114"/>
        <v>0</v>
      </c>
      <c r="P359" s="15"/>
      <c r="Q359" s="15">
        <f t="shared" si="115"/>
        <v>0</v>
      </c>
      <c r="R359" s="15"/>
      <c r="S359" s="15">
        <f t="shared" si="116"/>
        <v>0</v>
      </c>
      <c r="T359" s="15"/>
      <c r="U359" s="15">
        <f t="shared" si="117"/>
        <v>0</v>
      </c>
      <c r="V359" s="15">
        <f t="shared" si="104"/>
        <v>0</v>
      </c>
      <c r="W359" s="17"/>
      <c r="X359" s="17"/>
      <c r="Y359" s="18">
        <v>0.17399999999999999</v>
      </c>
      <c r="Z359" s="1">
        <f t="shared" si="118"/>
        <v>0</v>
      </c>
      <c r="AA359" s="21"/>
      <c r="AC359" s="21"/>
      <c r="AE359" s="19"/>
      <c r="AF359" s="20">
        <f>SUMIF('[1]G-Chart'!G:G,[1]Capacity!D359,'[1]G-Chart'!L:L)</f>
        <v>0</v>
      </c>
      <c r="AG359" s="2">
        <f t="shared" si="105"/>
        <v>0</v>
      </c>
      <c r="AH359" s="2">
        <f t="shared" si="106"/>
        <v>0</v>
      </c>
      <c r="AI359" s="2">
        <f t="shared" si="119"/>
        <v>0</v>
      </c>
      <c r="AJ359" s="1">
        <f t="shared" si="107"/>
        <v>0</v>
      </c>
      <c r="AK359" s="1">
        <f t="shared" si="108"/>
        <v>0</v>
      </c>
      <c r="AL359" s="1">
        <f t="shared" si="109"/>
        <v>0</v>
      </c>
      <c r="AM359" s="1">
        <f t="shared" si="120"/>
        <v>0</v>
      </c>
    </row>
    <row r="360" spans="1:39" x14ac:dyDescent="0.3">
      <c r="A360" s="12">
        <v>358</v>
      </c>
      <c r="B360" s="12" t="s">
        <v>26</v>
      </c>
      <c r="C360" s="13" t="s">
        <v>850</v>
      </c>
      <c r="D360" s="23" t="s">
        <v>850</v>
      </c>
      <c r="E360" s="14" t="s">
        <v>851</v>
      </c>
      <c r="F360" s="15">
        <v>0</v>
      </c>
      <c r="G360" s="16">
        <f t="shared" si="110"/>
        <v>0</v>
      </c>
      <c r="H360" s="15"/>
      <c r="I360" s="15">
        <f t="shared" si="111"/>
        <v>0</v>
      </c>
      <c r="J360" s="15"/>
      <c r="K360" s="15">
        <f t="shared" si="112"/>
        <v>0</v>
      </c>
      <c r="L360" s="15"/>
      <c r="M360" s="15">
        <f t="shared" si="113"/>
        <v>0</v>
      </c>
      <c r="N360" s="15"/>
      <c r="O360" s="15">
        <f t="shared" si="114"/>
        <v>0</v>
      </c>
      <c r="P360" s="15"/>
      <c r="Q360" s="15">
        <f t="shared" si="115"/>
        <v>0</v>
      </c>
      <c r="R360" s="15"/>
      <c r="S360" s="15">
        <f t="shared" si="116"/>
        <v>0</v>
      </c>
      <c r="T360" s="15"/>
      <c r="U360" s="15">
        <f t="shared" si="117"/>
        <v>0</v>
      </c>
      <c r="V360" s="15">
        <f t="shared" si="104"/>
        <v>0</v>
      </c>
      <c r="W360" s="17"/>
      <c r="X360" s="17"/>
      <c r="Y360" s="18">
        <v>1.7999999999999999E-2</v>
      </c>
      <c r="Z360" s="1">
        <f t="shared" si="118"/>
        <v>0</v>
      </c>
      <c r="AA360" s="21"/>
      <c r="AC360" s="54"/>
      <c r="AE360" s="19"/>
      <c r="AF360" s="20">
        <f>SUMIF('[1]G-Chart'!G:G,[1]Capacity!D360,'[1]G-Chart'!L:L)</f>
        <v>3750</v>
      </c>
      <c r="AG360" s="2">
        <f t="shared" si="105"/>
        <v>0</v>
      </c>
      <c r="AH360" s="2">
        <f t="shared" si="106"/>
        <v>0</v>
      </c>
      <c r="AI360" s="2">
        <f t="shared" si="119"/>
        <v>0</v>
      </c>
      <c r="AJ360" s="1">
        <f t="shared" si="107"/>
        <v>0</v>
      </c>
      <c r="AK360" s="1">
        <f t="shared" si="108"/>
        <v>0</v>
      </c>
      <c r="AL360" s="1">
        <f t="shared" si="109"/>
        <v>0</v>
      </c>
      <c r="AM360" s="1">
        <f t="shared" si="120"/>
        <v>0</v>
      </c>
    </row>
    <row r="361" spans="1:39" x14ac:dyDescent="0.3">
      <c r="A361" s="12">
        <v>359</v>
      </c>
      <c r="B361" s="12" t="s">
        <v>167</v>
      </c>
      <c r="C361" s="13" t="s">
        <v>852</v>
      </c>
      <c r="D361" s="13" t="s">
        <v>853</v>
      </c>
      <c r="E361" s="14" t="s">
        <v>854</v>
      </c>
      <c r="F361" s="15">
        <f>AB361</f>
        <v>4961</v>
      </c>
      <c r="G361" s="16">
        <f t="shared" si="110"/>
        <v>2</v>
      </c>
      <c r="H361" s="15"/>
      <c r="I361" s="15">
        <f t="shared" si="111"/>
        <v>0</v>
      </c>
      <c r="J361" s="15"/>
      <c r="K361" s="15">
        <f t="shared" si="112"/>
        <v>0</v>
      </c>
      <c r="L361" s="15"/>
      <c r="M361" s="15">
        <f t="shared" si="113"/>
        <v>0</v>
      </c>
      <c r="N361" s="15"/>
      <c r="O361" s="15">
        <f t="shared" si="114"/>
        <v>0</v>
      </c>
      <c r="P361" s="15">
        <v>1</v>
      </c>
      <c r="Q361" s="15">
        <f t="shared" si="115"/>
        <v>4961</v>
      </c>
      <c r="R361" s="15"/>
      <c r="S361" s="15">
        <f t="shared" si="116"/>
        <v>0</v>
      </c>
      <c r="T361" s="15">
        <v>1</v>
      </c>
      <c r="U361" s="15">
        <f t="shared" si="117"/>
        <v>4961</v>
      </c>
      <c r="V361" s="15">
        <f t="shared" si="104"/>
        <v>9922</v>
      </c>
      <c r="W361" s="17"/>
      <c r="X361" s="17"/>
      <c r="Y361" s="18">
        <v>5.5E-2</v>
      </c>
      <c r="Z361" s="1">
        <f t="shared" si="118"/>
        <v>198.44</v>
      </c>
      <c r="AA361" s="21">
        <v>1</v>
      </c>
      <c r="AB361" s="1">
        <f>AD71*AA361</f>
        <v>4961</v>
      </c>
      <c r="AC361" s="30"/>
      <c r="AD361" s="21"/>
      <c r="AE361" s="55"/>
      <c r="AF361" s="20">
        <f>SUMIF('[1]G-Chart'!G:G,[1]Capacity!D361,'[1]G-Chart'!L:L)</f>
        <v>3783</v>
      </c>
      <c r="AG361" s="2">
        <f t="shared" si="105"/>
        <v>0</v>
      </c>
      <c r="AH361" s="2">
        <f t="shared" si="106"/>
        <v>0</v>
      </c>
      <c r="AI361" s="2">
        <f t="shared" si="119"/>
        <v>0</v>
      </c>
      <c r="AJ361" s="1">
        <f t="shared" si="107"/>
        <v>3783</v>
      </c>
      <c r="AK361" s="1">
        <f t="shared" si="108"/>
        <v>0</v>
      </c>
      <c r="AL361" s="1">
        <f t="shared" si="109"/>
        <v>3783</v>
      </c>
      <c r="AM361" s="1">
        <f t="shared" si="120"/>
        <v>7566</v>
      </c>
    </row>
    <row r="362" spans="1:39" x14ac:dyDescent="0.3">
      <c r="A362" s="12">
        <v>360</v>
      </c>
      <c r="B362" s="12" t="s">
        <v>167</v>
      </c>
      <c r="C362" s="13" t="s">
        <v>855</v>
      </c>
      <c r="D362" s="13" t="s">
        <v>856</v>
      </c>
      <c r="E362" s="14" t="s">
        <v>857</v>
      </c>
      <c r="F362" s="15">
        <f>AB362</f>
        <v>4961</v>
      </c>
      <c r="G362" s="16">
        <f t="shared" si="110"/>
        <v>2</v>
      </c>
      <c r="H362" s="15"/>
      <c r="I362" s="15">
        <f t="shared" si="111"/>
        <v>0</v>
      </c>
      <c r="J362" s="15"/>
      <c r="K362" s="15">
        <f t="shared" si="112"/>
        <v>0</v>
      </c>
      <c r="L362" s="15"/>
      <c r="M362" s="15">
        <f t="shared" si="113"/>
        <v>0</v>
      </c>
      <c r="N362" s="15"/>
      <c r="O362" s="15">
        <f t="shared" si="114"/>
        <v>0</v>
      </c>
      <c r="P362" s="15">
        <v>2</v>
      </c>
      <c r="Q362" s="15">
        <f t="shared" si="115"/>
        <v>9922</v>
      </c>
      <c r="R362" s="15"/>
      <c r="S362" s="15">
        <f t="shared" si="116"/>
        <v>0</v>
      </c>
      <c r="T362" s="15"/>
      <c r="U362" s="15">
        <f t="shared" si="117"/>
        <v>0</v>
      </c>
      <c r="V362" s="15">
        <f t="shared" si="104"/>
        <v>9922</v>
      </c>
      <c r="W362" s="17"/>
      <c r="X362" s="17"/>
      <c r="Y362" s="18">
        <v>0.02</v>
      </c>
      <c r="Z362" s="1">
        <f t="shared" si="118"/>
        <v>198.44</v>
      </c>
      <c r="AA362" s="21">
        <v>1</v>
      </c>
      <c r="AB362" s="21">
        <f>AD71*AA362</f>
        <v>4961</v>
      </c>
      <c r="AC362" s="30"/>
      <c r="AD362" s="21"/>
      <c r="AE362" s="55"/>
      <c r="AF362" s="20">
        <f>SUMIF('[1]G-Chart'!G:G,[1]Capacity!D362,'[1]G-Chart'!L:L)</f>
        <v>1211</v>
      </c>
      <c r="AG362" s="2">
        <f t="shared" si="105"/>
        <v>0</v>
      </c>
      <c r="AH362" s="2">
        <f t="shared" si="106"/>
        <v>0</v>
      </c>
      <c r="AI362" s="2">
        <f t="shared" si="119"/>
        <v>0</v>
      </c>
      <c r="AJ362" s="1">
        <f t="shared" si="107"/>
        <v>2422</v>
      </c>
      <c r="AK362" s="1">
        <f t="shared" si="108"/>
        <v>0</v>
      </c>
      <c r="AL362" s="1">
        <f t="shared" si="109"/>
        <v>0</v>
      </c>
      <c r="AM362" s="1">
        <f t="shared" si="120"/>
        <v>2422</v>
      </c>
    </row>
    <row r="363" spans="1:39" x14ac:dyDescent="0.3">
      <c r="A363" s="12">
        <v>361</v>
      </c>
      <c r="B363" s="12" t="s">
        <v>96</v>
      </c>
      <c r="C363" s="13" t="s">
        <v>858</v>
      </c>
      <c r="D363" s="23" t="s">
        <v>859</v>
      </c>
      <c r="E363" s="14" t="s">
        <v>860</v>
      </c>
      <c r="F363" s="15">
        <v>0</v>
      </c>
      <c r="G363" s="16">
        <f t="shared" si="110"/>
        <v>4</v>
      </c>
      <c r="H363" s="15"/>
      <c r="I363" s="15">
        <f t="shared" si="111"/>
        <v>0</v>
      </c>
      <c r="J363" s="15">
        <v>1</v>
      </c>
      <c r="K363" s="15">
        <f t="shared" si="112"/>
        <v>0</v>
      </c>
      <c r="L363" s="15">
        <v>1</v>
      </c>
      <c r="M363" s="15">
        <f t="shared" si="113"/>
        <v>0</v>
      </c>
      <c r="N363" s="15">
        <v>1</v>
      </c>
      <c r="O363" s="15">
        <f t="shared" si="114"/>
        <v>0</v>
      </c>
      <c r="P363" s="15">
        <v>1</v>
      </c>
      <c r="Q363" s="15">
        <f t="shared" si="115"/>
        <v>0</v>
      </c>
      <c r="R363" s="15"/>
      <c r="S363" s="15">
        <f t="shared" si="116"/>
        <v>0</v>
      </c>
      <c r="T363" s="15"/>
      <c r="U363" s="15">
        <f t="shared" si="117"/>
        <v>0</v>
      </c>
      <c r="V363" s="15">
        <f t="shared" si="104"/>
        <v>0</v>
      </c>
      <c r="W363" s="17"/>
      <c r="X363" s="17"/>
      <c r="Y363" s="18">
        <v>0.14099999999999999</v>
      </c>
      <c r="Z363" s="1">
        <f t="shared" si="118"/>
        <v>0</v>
      </c>
      <c r="AA363" s="21"/>
      <c r="AC363" s="18"/>
      <c r="AE363" s="19"/>
      <c r="AF363" s="20">
        <f>SUMIF('[1]G-Chart'!G:G,[1]Capacity!D363,'[1]G-Chart'!L:L)</f>
        <v>0</v>
      </c>
      <c r="AG363" s="2">
        <f t="shared" si="105"/>
        <v>0</v>
      </c>
      <c r="AH363" s="2">
        <f t="shared" si="106"/>
        <v>0</v>
      </c>
      <c r="AI363" s="2">
        <f t="shared" si="119"/>
        <v>0</v>
      </c>
      <c r="AJ363" s="1">
        <f t="shared" si="107"/>
        <v>0</v>
      </c>
      <c r="AK363" s="1">
        <f t="shared" si="108"/>
        <v>0</v>
      </c>
      <c r="AL363" s="1">
        <f t="shared" si="109"/>
        <v>0</v>
      </c>
      <c r="AM363" s="1">
        <f t="shared" si="120"/>
        <v>0</v>
      </c>
    </row>
    <row r="364" spans="1:39" x14ac:dyDescent="0.3">
      <c r="A364" s="12">
        <v>362</v>
      </c>
      <c r="B364" s="12" t="s">
        <v>96</v>
      </c>
      <c r="C364" s="13" t="s">
        <v>861</v>
      </c>
      <c r="D364" s="13" t="s">
        <v>861</v>
      </c>
      <c r="E364" s="14" t="s">
        <v>862</v>
      </c>
      <c r="F364" s="15">
        <v>0</v>
      </c>
      <c r="G364" s="16">
        <f t="shared" si="110"/>
        <v>0</v>
      </c>
      <c r="H364" s="15"/>
      <c r="I364" s="15">
        <f t="shared" si="111"/>
        <v>0</v>
      </c>
      <c r="J364" s="15"/>
      <c r="K364" s="15">
        <f t="shared" si="112"/>
        <v>0</v>
      </c>
      <c r="L364" s="15"/>
      <c r="M364" s="15">
        <f t="shared" si="113"/>
        <v>0</v>
      </c>
      <c r="N364" s="15"/>
      <c r="O364" s="15">
        <f t="shared" si="114"/>
        <v>0</v>
      </c>
      <c r="P364" s="15"/>
      <c r="Q364" s="15">
        <f t="shared" si="115"/>
        <v>0</v>
      </c>
      <c r="R364" s="15"/>
      <c r="S364" s="15">
        <f t="shared" si="116"/>
        <v>0</v>
      </c>
      <c r="T364" s="15"/>
      <c r="U364" s="15">
        <f t="shared" si="117"/>
        <v>0</v>
      </c>
      <c r="V364" s="15">
        <f t="shared" si="104"/>
        <v>0</v>
      </c>
      <c r="W364" s="17"/>
      <c r="X364" s="17"/>
      <c r="Y364" s="18">
        <v>0.17</v>
      </c>
      <c r="Z364" s="1">
        <f t="shared" si="118"/>
        <v>0</v>
      </c>
      <c r="AA364" s="21"/>
      <c r="AC364" s="21"/>
      <c r="AE364" s="19"/>
      <c r="AF364" s="20">
        <f>SUMIF('[1]G-Chart'!G:G,[1]Capacity!D364,'[1]G-Chart'!L:L)</f>
        <v>0</v>
      </c>
      <c r="AG364" s="2">
        <f t="shared" si="105"/>
        <v>0</v>
      </c>
      <c r="AH364" s="2">
        <f t="shared" si="106"/>
        <v>0</v>
      </c>
      <c r="AI364" s="2">
        <f t="shared" si="119"/>
        <v>0</v>
      </c>
      <c r="AJ364" s="1">
        <f t="shared" si="107"/>
        <v>0</v>
      </c>
      <c r="AK364" s="1">
        <f t="shared" si="108"/>
        <v>0</v>
      </c>
      <c r="AL364" s="1">
        <f t="shared" si="109"/>
        <v>0</v>
      </c>
      <c r="AM364" s="1">
        <f t="shared" si="120"/>
        <v>0</v>
      </c>
    </row>
    <row r="365" spans="1:39" x14ac:dyDescent="0.3">
      <c r="A365" s="12">
        <v>363</v>
      </c>
      <c r="B365" s="12" t="s">
        <v>26</v>
      </c>
      <c r="C365" s="13" t="s">
        <v>863</v>
      </c>
      <c r="D365" s="13" t="s">
        <v>863</v>
      </c>
      <c r="E365" s="14" t="s">
        <v>864</v>
      </c>
      <c r="F365" s="15">
        <v>0</v>
      </c>
      <c r="G365" s="16">
        <f t="shared" si="110"/>
        <v>3</v>
      </c>
      <c r="H365" s="15"/>
      <c r="I365" s="15">
        <f t="shared" si="111"/>
        <v>0</v>
      </c>
      <c r="J365" s="15">
        <v>3</v>
      </c>
      <c r="K365" s="15">
        <f t="shared" si="112"/>
        <v>0</v>
      </c>
      <c r="L365" s="15"/>
      <c r="M365" s="15">
        <f t="shared" si="113"/>
        <v>0</v>
      </c>
      <c r="N365" s="15"/>
      <c r="O365" s="15">
        <f t="shared" si="114"/>
        <v>0</v>
      </c>
      <c r="P365" s="15"/>
      <c r="Q365" s="15">
        <f t="shared" si="115"/>
        <v>0</v>
      </c>
      <c r="R365" s="15"/>
      <c r="S365" s="15">
        <f t="shared" si="116"/>
        <v>0</v>
      </c>
      <c r="T365" s="15"/>
      <c r="U365" s="15">
        <f t="shared" si="117"/>
        <v>0</v>
      </c>
      <c r="V365" s="15">
        <f t="shared" si="104"/>
        <v>0</v>
      </c>
      <c r="W365" s="17"/>
      <c r="X365" s="17"/>
      <c r="Y365" s="18">
        <v>0.10299999999999999</v>
      </c>
      <c r="Z365" s="1">
        <f t="shared" si="118"/>
        <v>0</v>
      </c>
      <c r="AA365" s="21"/>
      <c r="AC365" s="21"/>
      <c r="AE365" s="19"/>
      <c r="AF365" s="20">
        <f>SUMIF('[1]G-Chart'!G:G,[1]Capacity!D365,'[1]G-Chart'!L:L)</f>
        <v>0</v>
      </c>
      <c r="AG365" s="2">
        <f t="shared" si="105"/>
        <v>0</v>
      </c>
      <c r="AH365" s="2">
        <f t="shared" si="106"/>
        <v>0</v>
      </c>
      <c r="AI365" s="2">
        <f t="shared" si="119"/>
        <v>0</v>
      </c>
      <c r="AJ365" s="1">
        <f t="shared" si="107"/>
        <v>0</v>
      </c>
      <c r="AK365" s="1">
        <f t="shared" si="108"/>
        <v>0</v>
      </c>
      <c r="AL365" s="1">
        <f t="shared" si="109"/>
        <v>0</v>
      </c>
      <c r="AM365" s="1">
        <f t="shared" si="120"/>
        <v>0</v>
      </c>
    </row>
    <row r="366" spans="1:39" x14ac:dyDescent="0.3">
      <c r="A366" s="12">
        <v>364</v>
      </c>
      <c r="B366" s="12" t="s">
        <v>26</v>
      </c>
      <c r="C366" s="13" t="s">
        <v>865</v>
      </c>
      <c r="D366" s="13" t="s">
        <v>865</v>
      </c>
      <c r="E366" s="14" t="s">
        <v>866</v>
      </c>
      <c r="F366" s="15">
        <v>0</v>
      </c>
      <c r="G366" s="16">
        <f t="shared" si="110"/>
        <v>0</v>
      </c>
      <c r="H366" s="15"/>
      <c r="I366" s="15">
        <f t="shared" si="111"/>
        <v>0</v>
      </c>
      <c r="J366" s="15"/>
      <c r="K366" s="15">
        <f t="shared" si="112"/>
        <v>0</v>
      </c>
      <c r="L366" s="15"/>
      <c r="M366" s="15">
        <f t="shared" si="113"/>
        <v>0</v>
      </c>
      <c r="N366" s="15"/>
      <c r="O366" s="15">
        <f t="shared" si="114"/>
        <v>0</v>
      </c>
      <c r="P366" s="15"/>
      <c r="Q366" s="15">
        <f t="shared" si="115"/>
        <v>0</v>
      </c>
      <c r="R366" s="15"/>
      <c r="S366" s="15">
        <f t="shared" si="116"/>
        <v>0</v>
      </c>
      <c r="T366" s="15"/>
      <c r="U366" s="15">
        <f t="shared" si="117"/>
        <v>0</v>
      </c>
      <c r="V366" s="15">
        <f t="shared" si="104"/>
        <v>0</v>
      </c>
      <c r="W366" s="17"/>
      <c r="X366" s="17"/>
      <c r="Y366" s="18">
        <v>0.14599999999999999</v>
      </c>
      <c r="Z366" s="1">
        <f t="shared" si="118"/>
        <v>0</v>
      </c>
      <c r="AA366" s="21"/>
      <c r="AC366" s="21"/>
      <c r="AE366" s="19"/>
      <c r="AF366" s="20">
        <f>SUMIF('[1]G-Chart'!G:G,[1]Capacity!D366,'[1]G-Chart'!L:L)</f>
        <v>0</v>
      </c>
      <c r="AG366" s="2">
        <f t="shared" si="105"/>
        <v>0</v>
      </c>
      <c r="AH366" s="2">
        <f t="shared" si="106"/>
        <v>0</v>
      </c>
      <c r="AI366" s="2">
        <f t="shared" si="119"/>
        <v>0</v>
      </c>
      <c r="AJ366" s="1">
        <f t="shared" si="107"/>
        <v>0</v>
      </c>
      <c r="AK366" s="1">
        <f t="shared" si="108"/>
        <v>0</v>
      </c>
      <c r="AL366" s="1">
        <f t="shared" si="109"/>
        <v>0</v>
      </c>
      <c r="AM366" s="1">
        <f t="shared" si="120"/>
        <v>0</v>
      </c>
    </row>
    <row r="367" spans="1:39" x14ac:dyDescent="0.3">
      <c r="A367" s="12">
        <v>365</v>
      </c>
      <c r="B367" s="12" t="s">
        <v>26</v>
      </c>
      <c r="C367" s="13" t="s">
        <v>867</v>
      </c>
      <c r="D367" s="13" t="s">
        <v>868</v>
      </c>
      <c r="E367" s="14" t="s">
        <v>869</v>
      </c>
      <c r="F367" s="15">
        <f>AB367</f>
        <v>0</v>
      </c>
      <c r="G367" s="16">
        <f t="shared" si="110"/>
        <v>1.5</v>
      </c>
      <c r="H367" s="15"/>
      <c r="I367" s="15">
        <f t="shared" si="111"/>
        <v>0</v>
      </c>
      <c r="J367" s="15"/>
      <c r="K367" s="15">
        <f t="shared" si="112"/>
        <v>0</v>
      </c>
      <c r="L367" s="15"/>
      <c r="M367" s="15">
        <f t="shared" si="113"/>
        <v>0</v>
      </c>
      <c r="N367" s="15">
        <v>1.5</v>
      </c>
      <c r="O367" s="15">
        <f t="shared" si="114"/>
        <v>0</v>
      </c>
      <c r="P367" s="15"/>
      <c r="Q367" s="15">
        <f t="shared" si="115"/>
        <v>0</v>
      </c>
      <c r="R367" s="15"/>
      <c r="S367" s="15">
        <f t="shared" si="116"/>
        <v>0</v>
      </c>
      <c r="T367" s="15"/>
      <c r="U367" s="15">
        <f t="shared" si="117"/>
        <v>0</v>
      </c>
      <c r="V367" s="15">
        <f t="shared" si="104"/>
        <v>0</v>
      </c>
      <c r="W367" s="17"/>
      <c r="X367" s="17"/>
      <c r="Y367" s="18">
        <v>8.5000000000000006E-2</v>
      </c>
      <c r="Z367" s="1">
        <f t="shared" si="118"/>
        <v>0</v>
      </c>
      <c r="AA367" s="21"/>
      <c r="AC367" s="21"/>
      <c r="AE367" s="19"/>
      <c r="AF367" s="20">
        <f>SUMIF('[1]G-Chart'!G:G,[1]Capacity!D367,'[1]G-Chart'!L:L)</f>
        <v>204</v>
      </c>
      <c r="AG367" s="2">
        <f t="shared" si="105"/>
        <v>0</v>
      </c>
      <c r="AH367" s="2">
        <f t="shared" si="106"/>
        <v>0</v>
      </c>
      <c r="AI367" s="2">
        <f t="shared" si="119"/>
        <v>306</v>
      </c>
      <c r="AJ367" s="1">
        <f t="shared" si="107"/>
        <v>0</v>
      </c>
      <c r="AK367" s="1">
        <f t="shared" si="108"/>
        <v>0</v>
      </c>
      <c r="AL367" s="1">
        <f t="shared" si="109"/>
        <v>0</v>
      </c>
      <c r="AM367" s="1">
        <f t="shared" si="120"/>
        <v>306</v>
      </c>
    </row>
    <row r="368" spans="1:39" x14ac:dyDescent="0.3">
      <c r="A368" s="12">
        <v>366</v>
      </c>
      <c r="B368" s="12" t="s">
        <v>26</v>
      </c>
      <c r="C368" s="13" t="s">
        <v>870</v>
      </c>
      <c r="D368" s="13" t="s">
        <v>871</v>
      </c>
      <c r="E368" s="14" t="s">
        <v>872</v>
      </c>
      <c r="F368" s="15">
        <f>AB368</f>
        <v>0</v>
      </c>
      <c r="G368" s="16">
        <f t="shared" si="110"/>
        <v>1.5</v>
      </c>
      <c r="H368" s="15"/>
      <c r="I368" s="15">
        <f t="shared" si="111"/>
        <v>0</v>
      </c>
      <c r="J368" s="15"/>
      <c r="K368" s="15">
        <f t="shared" si="112"/>
        <v>0</v>
      </c>
      <c r="L368" s="15"/>
      <c r="M368" s="15">
        <f t="shared" si="113"/>
        <v>0</v>
      </c>
      <c r="N368" s="15">
        <v>1.5</v>
      </c>
      <c r="O368" s="15">
        <f t="shared" si="114"/>
        <v>0</v>
      </c>
      <c r="P368" s="15"/>
      <c r="Q368" s="15">
        <f t="shared" si="115"/>
        <v>0</v>
      </c>
      <c r="R368" s="15"/>
      <c r="S368" s="15">
        <f t="shared" si="116"/>
        <v>0</v>
      </c>
      <c r="T368" s="15"/>
      <c r="U368" s="15">
        <f t="shared" si="117"/>
        <v>0</v>
      </c>
      <c r="V368" s="15">
        <f t="shared" si="104"/>
        <v>0</v>
      </c>
      <c r="W368" s="17"/>
      <c r="X368" s="17"/>
      <c r="Y368" s="18">
        <v>0.09</v>
      </c>
      <c r="Z368" s="1">
        <f t="shared" si="118"/>
        <v>0</v>
      </c>
      <c r="AA368" s="21"/>
      <c r="AC368" s="21"/>
      <c r="AE368" s="19"/>
      <c r="AF368" s="20">
        <f>SUMIF('[1]G-Chart'!G:G,[1]Capacity!D368,'[1]G-Chart'!L:L)</f>
        <v>357</v>
      </c>
      <c r="AG368" s="2">
        <f t="shared" si="105"/>
        <v>0</v>
      </c>
      <c r="AH368" s="2">
        <f t="shared" si="106"/>
        <v>0</v>
      </c>
      <c r="AI368" s="2">
        <f t="shared" si="119"/>
        <v>535.5</v>
      </c>
      <c r="AJ368" s="1">
        <f t="shared" si="107"/>
        <v>0</v>
      </c>
      <c r="AK368" s="1">
        <f t="shared" si="108"/>
        <v>0</v>
      </c>
      <c r="AL368" s="1">
        <f t="shared" si="109"/>
        <v>0</v>
      </c>
      <c r="AM368" s="1">
        <f t="shared" si="120"/>
        <v>535.5</v>
      </c>
    </row>
    <row r="369" spans="1:39" x14ac:dyDescent="0.3">
      <c r="A369" s="12">
        <v>367</v>
      </c>
      <c r="B369" s="12" t="s">
        <v>26</v>
      </c>
      <c r="C369" s="13" t="s">
        <v>873</v>
      </c>
      <c r="D369" s="13" t="s">
        <v>874</v>
      </c>
      <c r="E369" s="14" t="s">
        <v>875</v>
      </c>
      <c r="F369" s="15">
        <v>0</v>
      </c>
      <c r="G369" s="16">
        <f t="shared" si="110"/>
        <v>2</v>
      </c>
      <c r="H369" s="15"/>
      <c r="I369" s="15">
        <f t="shared" si="111"/>
        <v>0</v>
      </c>
      <c r="J369" s="15"/>
      <c r="K369" s="15">
        <f t="shared" si="112"/>
        <v>0</v>
      </c>
      <c r="L369" s="15"/>
      <c r="M369" s="15">
        <f t="shared" si="113"/>
        <v>0</v>
      </c>
      <c r="N369" s="15">
        <v>1</v>
      </c>
      <c r="O369" s="15">
        <f t="shared" si="114"/>
        <v>0</v>
      </c>
      <c r="P369" s="15"/>
      <c r="Q369" s="15">
        <f t="shared" si="115"/>
        <v>0</v>
      </c>
      <c r="R369" s="15">
        <v>1</v>
      </c>
      <c r="S369" s="15">
        <f t="shared" si="116"/>
        <v>0</v>
      </c>
      <c r="T369" s="15"/>
      <c r="U369" s="15">
        <f t="shared" si="117"/>
        <v>0</v>
      </c>
      <c r="V369" s="15">
        <f t="shared" si="104"/>
        <v>0</v>
      </c>
      <c r="W369" s="17"/>
      <c r="X369" s="17"/>
      <c r="Y369" s="18">
        <v>0.01</v>
      </c>
      <c r="Z369" s="1">
        <f t="shared" si="118"/>
        <v>0</v>
      </c>
      <c r="AA369" s="21"/>
      <c r="AC369" s="21"/>
      <c r="AE369" s="19"/>
      <c r="AF369" s="20">
        <f>SUMIF('[1]G-Chart'!G:G,[1]Capacity!D369,'[1]G-Chart'!L:L)</f>
        <v>1653</v>
      </c>
      <c r="AG369" s="2">
        <f t="shared" si="105"/>
        <v>0</v>
      </c>
      <c r="AH369" s="2">
        <f t="shared" si="106"/>
        <v>0</v>
      </c>
      <c r="AI369" s="2">
        <f t="shared" si="119"/>
        <v>1653</v>
      </c>
      <c r="AJ369" s="1">
        <f t="shared" si="107"/>
        <v>0</v>
      </c>
      <c r="AK369" s="1">
        <f t="shared" si="108"/>
        <v>1653</v>
      </c>
      <c r="AL369" s="1">
        <f t="shared" si="109"/>
        <v>0</v>
      </c>
      <c r="AM369" s="1">
        <f t="shared" si="120"/>
        <v>3306</v>
      </c>
    </row>
    <row r="370" spans="1:39" x14ac:dyDescent="0.3">
      <c r="A370" s="12">
        <v>368</v>
      </c>
      <c r="B370" s="12" t="s">
        <v>876</v>
      </c>
      <c r="C370" s="13" t="s">
        <v>877</v>
      </c>
      <c r="D370" s="13" t="s">
        <v>878</v>
      </c>
      <c r="E370" s="14" t="s">
        <v>879</v>
      </c>
      <c r="F370" s="15">
        <f>AB370</f>
        <v>0</v>
      </c>
      <c r="G370" s="16">
        <f t="shared" si="110"/>
        <v>2</v>
      </c>
      <c r="H370" s="15"/>
      <c r="I370" s="15">
        <f t="shared" si="111"/>
        <v>0</v>
      </c>
      <c r="J370" s="15"/>
      <c r="K370" s="15">
        <f t="shared" si="112"/>
        <v>0</v>
      </c>
      <c r="L370" s="15"/>
      <c r="M370" s="15">
        <f t="shared" si="113"/>
        <v>0</v>
      </c>
      <c r="N370" s="15"/>
      <c r="O370" s="15">
        <f t="shared" si="114"/>
        <v>0</v>
      </c>
      <c r="P370" s="15"/>
      <c r="Q370" s="15">
        <f t="shared" si="115"/>
        <v>0</v>
      </c>
      <c r="R370" s="15"/>
      <c r="S370" s="15">
        <f t="shared" si="116"/>
        <v>0</v>
      </c>
      <c r="T370" s="15">
        <v>2</v>
      </c>
      <c r="U370" s="15">
        <f t="shared" si="117"/>
        <v>0</v>
      </c>
      <c r="V370" s="15">
        <f t="shared" si="104"/>
        <v>0</v>
      </c>
      <c r="W370" s="17"/>
      <c r="X370" s="17"/>
      <c r="Y370" s="18">
        <v>9.4E-2</v>
      </c>
      <c r="Z370" s="1">
        <f t="shared" si="118"/>
        <v>0</v>
      </c>
      <c r="AA370" s="21">
        <v>2</v>
      </c>
      <c r="AB370" s="1">
        <f>AD370*AA370</f>
        <v>0</v>
      </c>
      <c r="AC370" s="30"/>
      <c r="AD370" s="21"/>
      <c r="AE370" s="46"/>
      <c r="AF370" s="20">
        <f>SUMIF('[1]G-Chart'!G:G,[1]Capacity!D370,'[1]G-Chart'!L:L)</f>
        <v>-283</v>
      </c>
      <c r="AG370" s="2">
        <f t="shared" si="105"/>
        <v>0</v>
      </c>
      <c r="AH370" s="2">
        <f t="shared" si="106"/>
        <v>0</v>
      </c>
      <c r="AI370" s="2">
        <f t="shared" si="119"/>
        <v>0</v>
      </c>
      <c r="AJ370" s="1">
        <f t="shared" si="107"/>
        <v>0</v>
      </c>
      <c r="AK370" s="1">
        <f t="shared" si="108"/>
        <v>0</v>
      </c>
      <c r="AL370" s="1">
        <v>0</v>
      </c>
      <c r="AM370" s="1">
        <f t="shared" si="120"/>
        <v>-566</v>
      </c>
    </row>
    <row r="371" spans="1:39" x14ac:dyDescent="0.3">
      <c r="A371" s="12">
        <v>369</v>
      </c>
      <c r="B371" s="12" t="s">
        <v>26</v>
      </c>
      <c r="C371" s="13" t="s">
        <v>880</v>
      </c>
      <c r="D371" s="13" t="s">
        <v>880</v>
      </c>
      <c r="E371" s="14" t="s">
        <v>881</v>
      </c>
      <c r="F371" s="15">
        <f>AB371</f>
        <v>0</v>
      </c>
      <c r="G371" s="16">
        <f t="shared" si="110"/>
        <v>3</v>
      </c>
      <c r="H371" s="15"/>
      <c r="I371" s="15">
        <f t="shared" si="111"/>
        <v>0</v>
      </c>
      <c r="J371" s="15"/>
      <c r="K371" s="15">
        <f t="shared" si="112"/>
        <v>0</v>
      </c>
      <c r="L371" s="15"/>
      <c r="M371" s="15">
        <f t="shared" si="113"/>
        <v>0</v>
      </c>
      <c r="N371" s="15"/>
      <c r="O371" s="15">
        <f t="shared" si="114"/>
        <v>0</v>
      </c>
      <c r="P371" s="15"/>
      <c r="Q371" s="15">
        <f t="shared" si="115"/>
        <v>0</v>
      </c>
      <c r="R371" s="15"/>
      <c r="S371" s="15">
        <f t="shared" si="116"/>
        <v>0</v>
      </c>
      <c r="T371" s="15">
        <v>3</v>
      </c>
      <c r="U371" s="15">
        <f t="shared" si="117"/>
        <v>0</v>
      </c>
      <c r="V371" s="15">
        <f t="shared" si="104"/>
        <v>0</v>
      </c>
      <c r="W371" s="17"/>
      <c r="X371" s="17"/>
      <c r="Y371" s="18">
        <v>2.1000000000000001E-2</v>
      </c>
      <c r="Z371" s="1">
        <f t="shared" si="118"/>
        <v>0</v>
      </c>
      <c r="AA371" s="21"/>
      <c r="AB371" s="1">
        <v>0</v>
      </c>
      <c r="AC371" s="21"/>
      <c r="AE371" s="19"/>
      <c r="AF371" s="20">
        <f>SUMIF('[1]G-Chart'!G:G,[1]Capacity!D371,'[1]G-Chart'!L:L)</f>
        <v>1141</v>
      </c>
      <c r="AG371" s="2">
        <f t="shared" si="105"/>
        <v>0</v>
      </c>
      <c r="AH371" s="2">
        <f t="shared" si="106"/>
        <v>0</v>
      </c>
      <c r="AI371" s="2">
        <f t="shared" si="119"/>
        <v>0</v>
      </c>
      <c r="AJ371" s="1">
        <f t="shared" si="107"/>
        <v>0</v>
      </c>
      <c r="AK371" s="1">
        <f t="shared" si="108"/>
        <v>0</v>
      </c>
      <c r="AL371" s="1">
        <f t="shared" si="109"/>
        <v>3423</v>
      </c>
      <c r="AM371" s="1">
        <f t="shared" si="120"/>
        <v>3423</v>
      </c>
    </row>
    <row r="372" spans="1:39" x14ac:dyDescent="0.3">
      <c r="A372" s="12">
        <v>370</v>
      </c>
      <c r="B372" s="12" t="s">
        <v>26</v>
      </c>
      <c r="C372" s="13" t="s">
        <v>882</v>
      </c>
      <c r="D372" s="13" t="s">
        <v>882</v>
      </c>
      <c r="E372" s="14" t="s">
        <v>883</v>
      </c>
      <c r="F372" s="15">
        <v>0</v>
      </c>
      <c r="G372" s="16">
        <f t="shared" si="110"/>
        <v>2</v>
      </c>
      <c r="H372" s="15"/>
      <c r="I372" s="15">
        <f t="shared" si="111"/>
        <v>0</v>
      </c>
      <c r="J372" s="15"/>
      <c r="K372" s="15">
        <f t="shared" si="112"/>
        <v>0</v>
      </c>
      <c r="L372" s="15"/>
      <c r="M372" s="15">
        <f t="shared" si="113"/>
        <v>0</v>
      </c>
      <c r="N372" s="15"/>
      <c r="O372" s="15">
        <f t="shared" si="114"/>
        <v>0</v>
      </c>
      <c r="P372" s="15">
        <v>2</v>
      </c>
      <c r="Q372" s="15">
        <f t="shared" si="115"/>
        <v>0</v>
      </c>
      <c r="R372" s="15"/>
      <c r="S372" s="15">
        <f t="shared" si="116"/>
        <v>0</v>
      </c>
      <c r="T372" s="15"/>
      <c r="U372" s="15">
        <f t="shared" si="117"/>
        <v>0</v>
      </c>
      <c r="V372" s="15">
        <f t="shared" si="104"/>
        <v>0</v>
      </c>
      <c r="W372" s="17"/>
      <c r="X372" s="17"/>
      <c r="Y372" s="18">
        <v>6.6000000000000003E-2</v>
      </c>
      <c r="Z372" s="1">
        <f t="shared" si="118"/>
        <v>0</v>
      </c>
      <c r="AA372" s="21"/>
      <c r="AC372" s="21"/>
      <c r="AE372" s="19"/>
      <c r="AF372" s="20">
        <f>SUMIF('[1]G-Chart'!G:G,[1]Capacity!D372,'[1]G-Chart'!L:L)</f>
        <v>0</v>
      </c>
      <c r="AG372" s="2">
        <f t="shared" si="105"/>
        <v>0</v>
      </c>
      <c r="AH372" s="2">
        <f t="shared" si="106"/>
        <v>0</v>
      </c>
      <c r="AI372" s="2">
        <f t="shared" si="119"/>
        <v>0</v>
      </c>
      <c r="AJ372" s="1">
        <f t="shared" si="107"/>
        <v>0</v>
      </c>
      <c r="AK372" s="1">
        <f t="shared" si="108"/>
        <v>0</v>
      </c>
      <c r="AL372" s="1">
        <f t="shared" si="109"/>
        <v>0</v>
      </c>
      <c r="AM372" s="1">
        <f t="shared" si="120"/>
        <v>0</v>
      </c>
    </row>
    <row r="373" spans="1:39" x14ac:dyDescent="0.3">
      <c r="A373" s="12">
        <v>371</v>
      </c>
      <c r="B373" s="12" t="s">
        <v>26</v>
      </c>
      <c r="C373" s="13" t="s">
        <v>884</v>
      </c>
      <c r="D373" s="13" t="s">
        <v>884</v>
      </c>
      <c r="E373" s="14" t="s">
        <v>885</v>
      </c>
      <c r="F373" s="15">
        <v>0</v>
      </c>
      <c r="G373" s="16">
        <f t="shared" si="110"/>
        <v>2</v>
      </c>
      <c r="H373" s="15"/>
      <c r="I373" s="15">
        <f t="shared" si="111"/>
        <v>0</v>
      </c>
      <c r="J373" s="15"/>
      <c r="K373" s="15">
        <f t="shared" si="112"/>
        <v>0</v>
      </c>
      <c r="L373" s="15"/>
      <c r="M373" s="15">
        <f t="shared" si="113"/>
        <v>0</v>
      </c>
      <c r="N373" s="15"/>
      <c r="O373" s="15">
        <f t="shared" si="114"/>
        <v>0</v>
      </c>
      <c r="P373" s="15">
        <v>2</v>
      </c>
      <c r="Q373" s="15">
        <f t="shared" si="115"/>
        <v>0</v>
      </c>
      <c r="R373" s="15"/>
      <c r="S373" s="15">
        <f t="shared" si="116"/>
        <v>0</v>
      </c>
      <c r="T373" s="15"/>
      <c r="U373" s="15">
        <f t="shared" si="117"/>
        <v>0</v>
      </c>
      <c r="V373" s="15">
        <f t="shared" si="104"/>
        <v>0</v>
      </c>
      <c r="W373" s="17"/>
      <c r="X373" s="17"/>
      <c r="Y373" s="18">
        <v>6.6000000000000003E-2</v>
      </c>
      <c r="Z373" s="1">
        <f t="shared" si="118"/>
        <v>0</v>
      </c>
      <c r="AA373" s="21"/>
      <c r="AC373" s="21"/>
      <c r="AE373" s="19"/>
      <c r="AF373" s="20">
        <f>SUMIF('[1]G-Chart'!G:G,[1]Capacity!D373,'[1]G-Chart'!L:L)</f>
        <v>0</v>
      </c>
      <c r="AG373" s="2">
        <f t="shared" si="105"/>
        <v>0</v>
      </c>
      <c r="AH373" s="2">
        <f t="shared" si="106"/>
        <v>0</v>
      </c>
      <c r="AI373" s="2">
        <f t="shared" si="119"/>
        <v>0</v>
      </c>
      <c r="AJ373" s="1">
        <f t="shared" si="107"/>
        <v>0</v>
      </c>
      <c r="AK373" s="1">
        <f t="shared" si="108"/>
        <v>0</v>
      </c>
      <c r="AL373" s="1">
        <f t="shared" si="109"/>
        <v>0</v>
      </c>
      <c r="AM373" s="1">
        <f t="shared" si="120"/>
        <v>0</v>
      </c>
    </row>
    <row r="374" spans="1:39" x14ac:dyDescent="0.3">
      <c r="A374" s="12">
        <v>372</v>
      </c>
      <c r="B374" s="12" t="s">
        <v>26</v>
      </c>
      <c r="C374" s="13" t="s">
        <v>886</v>
      </c>
      <c r="D374" s="13" t="s">
        <v>886</v>
      </c>
      <c r="E374" s="14" t="s">
        <v>887</v>
      </c>
      <c r="F374" s="15">
        <f>AB374</f>
        <v>0</v>
      </c>
      <c r="G374" s="16">
        <f t="shared" si="110"/>
        <v>2</v>
      </c>
      <c r="H374" s="15"/>
      <c r="I374" s="15">
        <f t="shared" si="111"/>
        <v>0</v>
      </c>
      <c r="J374" s="15"/>
      <c r="K374" s="15">
        <f t="shared" si="112"/>
        <v>0</v>
      </c>
      <c r="L374" s="15"/>
      <c r="M374" s="15">
        <f t="shared" si="113"/>
        <v>0</v>
      </c>
      <c r="N374" s="15">
        <v>2</v>
      </c>
      <c r="O374" s="15">
        <f t="shared" si="114"/>
        <v>0</v>
      </c>
      <c r="P374" s="15"/>
      <c r="Q374" s="15">
        <f t="shared" si="115"/>
        <v>0</v>
      </c>
      <c r="R374" s="15"/>
      <c r="S374" s="15">
        <f t="shared" si="116"/>
        <v>0</v>
      </c>
      <c r="T374" s="15"/>
      <c r="U374" s="15">
        <f t="shared" si="117"/>
        <v>0</v>
      </c>
      <c r="V374" s="15">
        <f t="shared" ref="V374:V437" si="121">F374*G374</f>
        <v>0</v>
      </c>
      <c r="W374" s="17"/>
      <c r="X374" s="17"/>
      <c r="Y374" s="18">
        <v>0.08</v>
      </c>
      <c r="Z374" s="1">
        <f t="shared" si="118"/>
        <v>0</v>
      </c>
      <c r="AA374" s="21"/>
      <c r="AB374" s="1">
        <v>0</v>
      </c>
      <c r="AC374" s="21"/>
      <c r="AE374" s="19"/>
      <c r="AF374" s="20">
        <f>SUMIF('[1]G-Chart'!G:G,[1]Capacity!D374,'[1]G-Chart'!L:L)</f>
        <v>0</v>
      </c>
      <c r="AG374" s="2">
        <f t="shared" si="105"/>
        <v>0</v>
      </c>
      <c r="AH374" s="2">
        <f t="shared" si="106"/>
        <v>0</v>
      </c>
      <c r="AI374" s="2">
        <f t="shared" si="119"/>
        <v>0</v>
      </c>
      <c r="AJ374" s="1">
        <f t="shared" si="107"/>
        <v>0</v>
      </c>
      <c r="AK374" s="1">
        <f t="shared" si="108"/>
        <v>0</v>
      </c>
      <c r="AL374" s="1">
        <f t="shared" si="109"/>
        <v>0</v>
      </c>
      <c r="AM374" s="1">
        <f t="shared" si="120"/>
        <v>0</v>
      </c>
    </row>
    <row r="375" spans="1:39" x14ac:dyDescent="0.3">
      <c r="A375" s="12">
        <v>373</v>
      </c>
      <c r="B375" s="12" t="s">
        <v>26</v>
      </c>
      <c r="C375" s="13" t="s">
        <v>888</v>
      </c>
      <c r="D375" s="13" t="s">
        <v>889</v>
      </c>
      <c r="E375" s="14" t="s">
        <v>890</v>
      </c>
      <c r="F375" s="15">
        <v>0</v>
      </c>
      <c r="G375" s="16">
        <f t="shared" si="110"/>
        <v>1</v>
      </c>
      <c r="H375" s="15"/>
      <c r="I375" s="15">
        <f t="shared" si="111"/>
        <v>0</v>
      </c>
      <c r="J375" s="15"/>
      <c r="K375" s="15">
        <f t="shared" si="112"/>
        <v>0</v>
      </c>
      <c r="L375" s="15"/>
      <c r="M375" s="15">
        <f t="shared" si="113"/>
        <v>0</v>
      </c>
      <c r="N375" s="15"/>
      <c r="O375" s="15">
        <f t="shared" si="114"/>
        <v>0</v>
      </c>
      <c r="P375" s="15"/>
      <c r="Q375" s="15">
        <f t="shared" si="115"/>
        <v>0</v>
      </c>
      <c r="R375" s="15"/>
      <c r="S375" s="15">
        <f t="shared" si="116"/>
        <v>0</v>
      </c>
      <c r="T375" s="15">
        <v>1</v>
      </c>
      <c r="U375" s="15">
        <f t="shared" si="117"/>
        <v>0</v>
      </c>
      <c r="V375" s="15">
        <f t="shared" si="121"/>
        <v>0</v>
      </c>
      <c r="W375" s="17"/>
      <c r="X375" s="17"/>
      <c r="Y375" s="18">
        <v>1.7000000000000001E-2</v>
      </c>
      <c r="Z375" s="1">
        <f t="shared" si="118"/>
        <v>0</v>
      </c>
      <c r="AA375" s="21"/>
      <c r="AC375" s="21"/>
      <c r="AE375" s="19"/>
      <c r="AF375" s="20">
        <f>SUMIF('[1]G-Chart'!G:G,[1]Capacity!D375,'[1]G-Chart'!L:L)</f>
        <v>0</v>
      </c>
      <c r="AG375" s="2">
        <f t="shared" si="105"/>
        <v>0</v>
      </c>
      <c r="AH375" s="2">
        <f t="shared" si="106"/>
        <v>0</v>
      </c>
      <c r="AI375" s="2">
        <f t="shared" si="119"/>
        <v>0</v>
      </c>
      <c r="AJ375" s="1">
        <f t="shared" si="107"/>
        <v>0</v>
      </c>
      <c r="AK375" s="1">
        <f t="shared" si="108"/>
        <v>0</v>
      </c>
      <c r="AL375" s="1">
        <f t="shared" si="109"/>
        <v>0</v>
      </c>
      <c r="AM375" s="1">
        <f t="shared" si="120"/>
        <v>0</v>
      </c>
    </row>
    <row r="376" spans="1:39" x14ac:dyDescent="0.3">
      <c r="A376" s="12">
        <v>374</v>
      </c>
      <c r="B376" s="12" t="s">
        <v>96</v>
      </c>
      <c r="C376" s="13" t="s">
        <v>891</v>
      </c>
      <c r="D376" s="23" t="s">
        <v>891</v>
      </c>
      <c r="E376" s="14" t="s">
        <v>892</v>
      </c>
      <c r="F376" s="15">
        <v>0</v>
      </c>
      <c r="G376" s="16">
        <f t="shared" si="110"/>
        <v>2</v>
      </c>
      <c r="H376" s="15"/>
      <c r="I376" s="15">
        <f t="shared" si="111"/>
        <v>0</v>
      </c>
      <c r="J376" s="15"/>
      <c r="K376" s="15">
        <f t="shared" si="112"/>
        <v>0</v>
      </c>
      <c r="L376" s="15"/>
      <c r="M376" s="15">
        <f t="shared" si="113"/>
        <v>0</v>
      </c>
      <c r="N376" s="15"/>
      <c r="O376" s="15">
        <f t="shared" si="114"/>
        <v>0</v>
      </c>
      <c r="P376" s="15">
        <v>1</v>
      </c>
      <c r="Q376" s="15">
        <f t="shared" si="115"/>
        <v>0</v>
      </c>
      <c r="R376" s="15"/>
      <c r="S376" s="15">
        <f t="shared" si="116"/>
        <v>0</v>
      </c>
      <c r="T376" s="15">
        <v>1</v>
      </c>
      <c r="U376" s="15">
        <f t="shared" si="117"/>
        <v>0</v>
      </c>
      <c r="V376" s="15">
        <f t="shared" si="121"/>
        <v>0</v>
      </c>
      <c r="W376" s="17"/>
      <c r="X376" s="17"/>
      <c r="Y376" s="18">
        <v>3.7999999999999999E-2</v>
      </c>
      <c r="Z376" s="1">
        <f t="shared" si="118"/>
        <v>0</v>
      </c>
      <c r="AA376" s="21"/>
      <c r="AC376" s="21">
        <v>700</v>
      </c>
      <c r="AE376" s="19"/>
      <c r="AF376" s="20">
        <f>SUMIF('[1]G-Chart'!G:G,[1]Capacity!D376,'[1]G-Chart'!L:L)</f>
        <v>0</v>
      </c>
      <c r="AG376" s="2">
        <f t="shared" si="105"/>
        <v>0</v>
      </c>
      <c r="AH376" s="2">
        <f t="shared" si="106"/>
        <v>0</v>
      </c>
      <c r="AI376" s="2">
        <f t="shared" si="119"/>
        <v>0</v>
      </c>
      <c r="AJ376" s="1">
        <f t="shared" si="107"/>
        <v>0</v>
      </c>
      <c r="AK376" s="1">
        <f t="shared" si="108"/>
        <v>0</v>
      </c>
      <c r="AL376" s="1">
        <f t="shared" si="109"/>
        <v>0</v>
      </c>
      <c r="AM376" s="1">
        <f t="shared" si="120"/>
        <v>0</v>
      </c>
    </row>
    <row r="377" spans="1:39" x14ac:dyDescent="0.3">
      <c r="A377" s="12">
        <v>375</v>
      </c>
      <c r="B377" s="12" t="s">
        <v>96</v>
      </c>
      <c r="C377" s="13" t="s">
        <v>893</v>
      </c>
      <c r="D377" s="23" t="s">
        <v>894</v>
      </c>
      <c r="E377" s="14" t="s">
        <v>895</v>
      </c>
      <c r="F377" s="15">
        <v>0</v>
      </c>
      <c r="G377" s="16">
        <f t="shared" si="110"/>
        <v>3</v>
      </c>
      <c r="H377" s="15"/>
      <c r="I377" s="15">
        <f t="shared" si="111"/>
        <v>0</v>
      </c>
      <c r="J377" s="15"/>
      <c r="K377" s="15">
        <f t="shared" si="112"/>
        <v>0</v>
      </c>
      <c r="L377" s="15"/>
      <c r="M377" s="15">
        <f t="shared" si="113"/>
        <v>0</v>
      </c>
      <c r="N377" s="15"/>
      <c r="O377" s="15">
        <f t="shared" si="114"/>
        <v>0</v>
      </c>
      <c r="P377" s="15">
        <v>1</v>
      </c>
      <c r="Q377" s="15">
        <f t="shared" si="115"/>
        <v>0</v>
      </c>
      <c r="R377" s="15">
        <v>1</v>
      </c>
      <c r="S377" s="15">
        <f t="shared" si="116"/>
        <v>0</v>
      </c>
      <c r="T377" s="15">
        <v>1</v>
      </c>
      <c r="U377" s="15">
        <f t="shared" si="117"/>
        <v>0</v>
      </c>
      <c r="V377" s="15">
        <f t="shared" si="121"/>
        <v>0</v>
      </c>
      <c r="W377" s="17"/>
      <c r="X377" s="17"/>
      <c r="Y377" s="18">
        <v>4.2000000000000003E-2</v>
      </c>
      <c r="Z377" s="1">
        <f t="shared" si="118"/>
        <v>0</v>
      </c>
      <c r="AA377" s="21"/>
      <c r="AC377" s="21">
        <v>1050</v>
      </c>
      <c r="AE377" s="19"/>
      <c r="AF377" s="20">
        <f>SUMIF('[1]G-Chart'!G:G,[1]Capacity!D377,'[1]G-Chart'!L:L)</f>
        <v>750</v>
      </c>
      <c r="AG377" s="2">
        <f t="shared" si="105"/>
        <v>0</v>
      </c>
      <c r="AH377" s="2">
        <f t="shared" si="106"/>
        <v>0</v>
      </c>
      <c r="AI377" s="2">
        <f t="shared" si="119"/>
        <v>0</v>
      </c>
      <c r="AJ377" s="1">
        <f t="shared" si="107"/>
        <v>750</v>
      </c>
      <c r="AK377" s="1">
        <f t="shared" si="108"/>
        <v>750</v>
      </c>
      <c r="AL377" s="1">
        <f t="shared" si="109"/>
        <v>750</v>
      </c>
      <c r="AM377" s="1">
        <f t="shared" si="120"/>
        <v>2250</v>
      </c>
    </row>
    <row r="378" spans="1:39" x14ac:dyDescent="0.3">
      <c r="A378" s="12">
        <v>376</v>
      </c>
      <c r="B378" s="12" t="s">
        <v>876</v>
      </c>
      <c r="C378" s="13" t="s">
        <v>896</v>
      </c>
      <c r="D378" s="23" t="s">
        <v>897</v>
      </c>
      <c r="E378" s="14" t="s">
        <v>898</v>
      </c>
      <c r="F378" s="15">
        <v>0</v>
      </c>
      <c r="G378" s="16">
        <f t="shared" si="110"/>
        <v>2</v>
      </c>
      <c r="H378" s="15"/>
      <c r="I378" s="15">
        <f t="shared" si="111"/>
        <v>0</v>
      </c>
      <c r="J378" s="15"/>
      <c r="K378" s="15">
        <f t="shared" si="112"/>
        <v>0</v>
      </c>
      <c r="L378" s="15"/>
      <c r="M378" s="15">
        <f t="shared" si="113"/>
        <v>0</v>
      </c>
      <c r="N378" s="15">
        <v>1</v>
      </c>
      <c r="O378" s="15">
        <f t="shared" si="114"/>
        <v>0</v>
      </c>
      <c r="P378" s="15">
        <v>1</v>
      </c>
      <c r="Q378" s="15">
        <f t="shared" si="115"/>
        <v>0</v>
      </c>
      <c r="R378" s="15"/>
      <c r="S378" s="15">
        <f t="shared" si="116"/>
        <v>0</v>
      </c>
      <c r="T378" s="15"/>
      <c r="U378" s="15">
        <f t="shared" si="117"/>
        <v>0</v>
      </c>
      <c r="V378" s="15">
        <f t="shared" si="121"/>
        <v>0</v>
      </c>
      <c r="W378" s="17"/>
      <c r="X378" s="17"/>
      <c r="Y378" s="18">
        <v>3.3000000000000002E-2</v>
      </c>
      <c r="Z378" s="1">
        <f t="shared" si="118"/>
        <v>0</v>
      </c>
      <c r="AA378" s="21">
        <v>4</v>
      </c>
      <c r="AC378" s="21"/>
      <c r="AE378" s="19"/>
      <c r="AF378" s="20">
        <f>SUMIF('[1]G-Chart'!G:G,[1]Capacity!D378,'[1]G-Chart'!L:L)</f>
        <v>-283</v>
      </c>
      <c r="AG378" s="2">
        <f t="shared" si="105"/>
        <v>0</v>
      </c>
      <c r="AH378" s="2">
        <f t="shared" si="106"/>
        <v>0</v>
      </c>
      <c r="AI378" s="2">
        <v>0</v>
      </c>
      <c r="AJ378" s="1">
        <v>0</v>
      </c>
      <c r="AK378" s="1">
        <f t="shared" si="108"/>
        <v>0</v>
      </c>
      <c r="AL378" s="1">
        <f t="shared" si="109"/>
        <v>0</v>
      </c>
      <c r="AM378" s="1">
        <f t="shared" si="120"/>
        <v>-566</v>
      </c>
    </row>
    <row r="379" spans="1:39" x14ac:dyDescent="0.3">
      <c r="A379" s="12">
        <v>377</v>
      </c>
      <c r="B379" s="12" t="s">
        <v>96</v>
      </c>
      <c r="C379" s="13" t="s">
        <v>899</v>
      </c>
      <c r="D379" s="23" t="s">
        <v>900</v>
      </c>
      <c r="E379" s="14" t="s">
        <v>901</v>
      </c>
      <c r="F379" s="15">
        <v>0</v>
      </c>
      <c r="G379" s="16">
        <f t="shared" si="110"/>
        <v>2</v>
      </c>
      <c r="H379" s="15"/>
      <c r="I379" s="15">
        <f t="shared" si="111"/>
        <v>0</v>
      </c>
      <c r="J379" s="15"/>
      <c r="K379" s="15">
        <f t="shared" si="112"/>
        <v>0</v>
      </c>
      <c r="L379" s="15"/>
      <c r="M379" s="15">
        <f t="shared" si="113"/>
        <v>0</v>
      </c>
      <c r="N379" s="15">
        <v>2</v>
      </c>
      <c r="O379" s="15">
        <f t="shared" si="114"/>
        <v>0</v>
      </c>
      <c r="P379" s="15"/>
      <c r="Q379" s="15">
        <f t="shared" si="115"/>
        <v>0</v>
      </c>
      <c r="R379" s="15"/>
      <c r="S379" s="15">
        <f t="shared" si="116"/>
        <v>0</v>
      </c>
      <c r="T379" s="15"/>
      <c r="U379" s="15">
        <f t="shared" si="117"/>
        <v>0</v>
      </c>
      <c r="V379" s="15">
        <f t="shared" si="121"/>
        <v>0</v>
      </c>
      <c r="W379" s="17"/>
      <c r="X379" s="17"/>
      <c r="Y379" s="18">
        <v>0.19900000000000001</v>
      </c>
      <c r="Z379" s="1">
        <f t="shared" si="118"/>
        <v>0</v>
      </c>
      <c r="AA379" s="21"/>
      <c r="AC379" s="21"/>
      <c r="AE379" s="19"/>
      <c r="AF379" s="20">
        <f>SUMIF('[1]G-Chart'!G:G,[1]Capacity!D379,'[1]G-Chart'!L:L)</f>
        <v>0</v>
      </c>
      <c r="AG379" s="2">
        <f t="shared" si="105"/>
        <v>0</v>
      </c>
      <c r="AH379" s="2">
        <f t="shared" si="106"/>
        <v>0</v>
      </c>
      <c r="AI379" s="2">
        <f t="shared" si="119"/>
        <v>0</v>
      </c>
      <c r="AJ379" s="1">
        <f t="shared" si="107"/>
        <v>0</v>
      </c>
      <c r="AK379" s="1">
        <f t="shared" si="108"/>
        <v>0</v>
      </c>
      <c r="AL379" s="1">
        <f t="shared" si="109"/>
        <v>0</v>
      </c>
      <c r="AM379" s="1">
        <f t="shared" si="120"/>
        <v>0</v>
      </c>
    </row>
    <row r="380" spans="1:39" x14ac:dyDescent="0.3">
      <c r="A380" s="12">
        <v>378</v>
      </c>
      <c r="B380" s="12" t="s">
        <v>96</v>
      </c>
      <c r="C380" s="13" t="s">
        <v>902</v>
      </c>
      <c r="D380" s="23" t="s">
        <v>903</v>
      </c>
      <c r="E380" s="14" t="s">
        <v>904</v>
      </c>
      <c r="F380" s="15">
        <v>0</v>
      </c>
      <c r="G380" s="16">
        <f t="shared" si="110"/>
        <v>2</v>
      </c>
      <c r="H380" s="15"/>
      <c r="I380" s="15">
        <f t="shared" si="111"/>
        <v>0</v>
      </c>
      <c r="J380" s="15"/>
      <c r="K380" s="15">
        <f t="shared" si="112"/>
        <v>0</v>
      </c>
      <c r="L380" s="15"/>
      <c r="M380" s="15">
        <f t="shared" si="113"/>
        <v>0</v>
      </c>
      <c r="N380" s="15">
        <v>2</v>
      </c>
      <c r="O380" s="15">
        <f t="shared" si="114"/>
        <v>0</v>
      </c>
      <c r="P380" s="15"/>
      <c r="Q380" s="15">
        <f t="shared" si="115"/>
        <v>0</v>
      </c>
      <c r="R380" s="15"/>
      <c r="S380" s="15">
        <f t="shared" si="116"/>
        <v>0</v>
      </c>
      <c r="T380" s="15"/>
      <c r="U380" s="15">
        <f t="shared" si="117"/>
        <v>0</v>
      </c>
      <c r="V380" s="15">
        <f t="shared" si="121"/>
        <v>0</v>
      </c>
      <c r="W380" s="17"/>
      <c r="X380" s="17"/>
      <c r="Y380" s="18">
        <v>0.19800000000000001</v>
      </c>
      <c r="Z380" s="1">
        <f t="shared" si="118"/>
        <v>0</v>
      </c>
      <c r="AA380" s="21"/>
      <c r="AC380" s="21"/>
      <c r="AE380" s="19"/>
      <c r="AF380" s="20">
        <f>SUMIF('[1]G-Chart'!G:G,[1]Capacity!D380,'[1]G-Chart'!L:L)</f>
        <v>0</v>
      </c>
      <c r="AG380" s="2">
        <f t="shared" si="105"/>
        <v>0</v>
      </c>
      <c r="AH380" s="2">
        <f t="shared" si="106"/>
        <v>0</v>
      </c>
      <c r="AI380" s="2">
        <f t="shared" si="119"/>
        <v>0</v>
      </c>
      <c r="AJ380" s="1">
        <f t="shared" si="107"/>
        <v>0</v>
      </c>
      <c r="AK380" s="1">
        <f t="shared" si="108"/>
        <v>0</v>
      </c>
      <c r="AL380" s="1">
        <f t="shared" si="109"/>
        <v>0</v>
      </c>
      <c r="AM380" s="1">
        <f t="shared" si="120"/>
        <v>0</v>
      </c>
    </row>
    <row r="381" spans="1:39" x14ac:dyDescent="0.3">
      <c r="A381" s="12">
        <v>379</v>
      </c>
      <c r="B381" s="12" t="s">
        <v>96</v>
      </c>
      <c r="C381" s="13" t="s">
        <v>905</v>
      </c>
      <c r="D381" s="13" t="s">
        <v>906</v>
      </c>
      <c r="E381" s="14" t="s">
        <v>907</v>
      </c>
      <c r="F381" s="15">
        <v>0</v>
      </c>
      <c r="G381" s="16">
        <f t="shared" si="110"/>
        <v>1</v>
      </c>
      <c r="H381" s="15"/>
      <c r="I381" s="15">
        <f t="shared" si="111"/>
        <v>0</v>
      </c>
      <c r="J381" s="15"/>
      <c r="K381" s="15">
        <f t="shared" si="112"/>
        <v>0</v>
      </c>
      <c r="L381" s="15"/>
      <c r="M381" s="15">
        <f t="shared" si="113"/>
        <v>0</v>
      </c>
      <c r="N381" s="15">
        <v>1</v>
      </c>
      <c r="O381" s="15">
        <f t="shared" si="114"/>
        <v>0</v>
      </c>
      <c r="P381" s="15"/>
      <c r="Q381" s="15">
        <f t="shared" si="115"/>
        <v>0</v>
      </c>
      <c r="R381" s="15"/>
      <c r="S381" s="15">
        <f t="shared" si="116"/>
        <v>0</v>
      </c>
      <c r="T381" s="15"/>
      <c r="U381" s="15">
        <f t="shared" si="117"/>
        <v>0</v>
      </c>
      <c r="V381" s="15">
        <f t="shared" si="121"/>
        <v>0</v>
      </c>
      <c r="W381" s="17"/>
      <c r="X381" s="17"/>
      <c r="Y381" s="18">
        <v>2.5999999999999999E-2</v>
      </c>
      <c r="Z381" s="1">
        <f t="shared" si="118"/>
        <v>0</v>
      </c>
      <c r="AA381" s="21"/>
      <c r="AC381" s="21">
        <v>350</v>
      </c>
      <c r="AE381" s="19"/>
      <c r="AF381" s="20">
        <f>SUMIF('[1]G-Chart'!G:G,[1]Capacity!D381,'[1]G-Chart'!L:L)</f>
        <v>0</v>
      </c>
      <c r="AG381" s="2">
        <f t="shared" si="105"/>
        <v>0</v>
      </c>
      <c r="AH381" s="2">
        <f t="shared" si="106"/>
        <v>0</v>
      </c>
      <c r="AI381" s="2">
        <f t="shared" si="119"/>
        <v>0</v>
      </c>
      <c r="AJ381" s="1">
        <f t="shared" si="107"/>
        <v>0</v>
      </c>
      <c r="AK381" s="1">
        <f t="shared" si="108"/>
        <v>0</v>
      </c>
      <c r="AL381" s="1">
        <f t="shared" si="109"/>
        <v>0</v>
      </c>
      <c r="AM381" s="1">
        <f t="shared" si="120"/>
        <v>0</v>
      </c>
    </row>
    <row r="382" spans="1:39" x14ac:dyDescent="0.3">
      <c r="A382" s="12">
        <v>380</v>
      </c>
      <c r="B382" s="12" t="s">
        <v>96</v>
      </c>
      <c r="C382" s="13" t="s">
        <v>908</v>
      </c>
      <c r="D382" s="13" t="s">
        <v>908</v>
      </c>
      <c r="E382" s="14" t="s">
        <v>909</v>
      </c>
      <c r="F382" s="15">
        <v>0</v>
      </c>
      <c r="G382" s="16">
        <f t="shared" si="110"/>
        <v>2</v>
      </c>
      <c r="H382" s="15"/>
      <c r="I382" s="15">
        <f t="shared" si="111"/>
        <v>0</v>
      </c>
      <c r="J382" s="15"/>
      <c r="K382" s="15">
        <f t="shared" si="112"/>
        <v>0</v>
      </c>
      <c r="L382" s="15"/>
      <c r="M382" s="15">
        <f t="shared" si="113"/>
        <v>0</v>
      </c>
      <c r="N382" s="15"/>
      <c r="O382" s="15"/>
      <c r="P382" s="15"/>
      <c r="Q382" s="15">
        <f t="shared" si="115"/>
        <v>0</v>
      </c>
      <c r="R382" s="15"/>
      <c r="S382" s="15">
        <f t="shared" si="116"/>
        <v>0</v>
      </c>
      <c r="T382" s="15">
        <v>2</v>
      </c>
      <c r="U382" s="15">
        <f t="shared" si="117"/>
        <v>0</v>
      </c>
      <c r="V382" s="15">
        <f t="shared" si="121"/>
        <v>0</v>
      </c>
      <c r="W382" s="17"/>
      <c r="X382" s="17"/>
      <c r="Y382" s="18">
        <v>9.4E-2</v>
      </c>
      <c r="Z382" s="1">
        <f t="shared" si="118"/>
        <v>0</v>
      </c>
      <c r="AA382" s="21"/>
      <c r="AC382" s="21"/>
      <c r="AE382" s="19"/>
      <c r="AF382" s="20">
        <f>SUMIF('[1]G-Chart'!G:G,[1]Capacity!D382,'[1]G-Chart'!L:L)</f>
        <v>0</v>
      </c>
      <c r="AG382" s="2">
        <f t="shared" si="105"/>
        <v>0</v>
      </c>
      <c r="AH382" s="2">
        <f t="shared" si="106"/>
        <v>0</v>
      </c>
      <c r="AI382" s="2">
        <f t="shared" si="119"/>
        <v>0</v>
      </c>
      <c r="AJ382" s="1">
        <f t="shared" si="107"/>
        <v>0</v>
      </c>
      <c r="AK382" s="1">
        <f t="shared" si="108"/>
        <v>0</v>
      </c>
      <c r="AL382" s="1">
        <f t="shared" si="109"/>
        <v>0</v>
      </c>
      <c r="AM382" s="1">
        <f t="shared" si="120"/>
        <v>0</v>
      </c>
    </row>
    <row r="383" spans="1:39" x14ac:dyDescent="0.3">
      <c r="A383" s="12">
        <v>381</v>
      </c>
      <c r="B383" s="12" t="s">
        <v>910</v>
      </c>
      <c r="C383" s="13" t="s">
        <v>911</v>
      </c>
      <c r="D383" s="13" t="s">
        <v>911</v>
      </c>
      <c r="E383" s="14" t="s">
        <v>912</v>
      </c>
      <c r="F383" s="15">
        <f>+AB383</f>
        <v>10000</v>
      </c>
      <c r="G383" s="16">
        <f t="shared" si="110"/>
        <v>3</v>
      </c>
      <c r="H383" s="15"/>
      <c r="I383" s="15">
        <f t="shared" ref="I383:I416" si="122">F383*H383</f>
        <v>0</v>
      </c>
      <c r="J383" s="15"/>
      <c r="K383" s="15">
        <f t="shared" ref="K383:K416" si="123">J383*F383</f>
        <v>0</v>
      </c>
      <c r="L383" s="15"/>
      <c r="M383" s="15">
        <f t="shared" si="113"/>
        <v>0</v>
      </c>
      <c r="N383" s="15"/>
      <c r="O383" s="15">
        <f t="shared" ref="O383:O446" si="124">N383*F383</f>
        <v>0</v>
      </c>
      <c r="P383" s="15">
        <v>3</v>
      </c>
      <c r="Q383" s="15">
        <f t="shared" si="115"/>
        <v>30000</v>
      </c>
      <c r="R383" s="15"/>
      <c r="S383" s="15">
        <f t="shared" si="116"/>
        <v>0</v>
      </c>
      <c r="T383" s="15"/>
      <c r="U383" s="15">
        <f t="shared" si="117"/>
        <v>0</v>
      </c>
      <c r="V383" s="15">
        <f t="shared" si="121"/>
        <v>30000</v>
      </c>
      <c r="W383" s="17"/>
      <c r="X383" s="17"/>
      <c r="Y383" s="18">
        <v>6.9000000000000006E-2</v>
      </c>
      <c r="Z383" s="21">
        <f t="shared" si="118"/>
        <v>400</v>
      </c>
      <c r="AA383" s="21">
        <v>1</v>
      </c>
      <c r="AB383" s="56">
        <f>AA383*$AD$383</f>
        <v>10000</v>
      </c>
      <c r="AC383" s="30" t="s">
        <v>910</v>
      </c>
      <c r="AD383" s="31">
        <v>10000</v>
      </c>
      <c r="AE383" s="32" t="s">
        <v>913</v>
      </c>
      <c r="AF383" s="20">
        <f>SUMIF('[1]G-Chart'!G:G,[1]Capacity!D383,'[1]G-Chart'!L:L)</f>
        <v>1231</v>
      </c>
      <c r="AG383" s="2">
        <f t="shared" si="105"/>
        <v>0</v>
      </c>
      <c r="AH383" s="2">
        <f t="shared" si="106"/>
        <v>0</v>
      </c>
      <c r="AI383" s="2">
        <f t="shared" si="119"/>
        <v>0</v>
      </c>
      <c r="AJ383" s="1">
        <f t="shared" si="107"/>
        <v>3693</v>
      </c>
      <c r="AK383" s="1">
        <f t="shared" si="108"/>
        <v>0</v>
      </c>
      <c r="AL383" s="1">
        <f t="shared" si="109"/>
        <v>0</v>
      </c>
      <c r="AM383" s="1">
        <f t="shared" si="120"/>
        <v>3693</v>
      </c>
    </row>
    <row r="384" spans="1:39" x14ac:dyDescent="0.3">
      <c r="A384" s="12">
        <v>382</v>
      </c>
      <c r="B384" s="12" t="s">
        <v>910</v>
      </c>
      <c r="C384" s="13" t="s">
        <v>914</v>
      </c>
      <c r="D384" s="13" t="s">
        <v>914</v>
      </c>
      <c r="E384" s="14" t="s">
        <v>915</v>
      </c>
      <c r="F384" s="15">
        <f t="shared" ref="F384:F416" si="125">+AB384</f>
        <v>10000</v>
      </c>
      <c r="G384" s="16">
        <f t="shared" si="110"/>
        <v>3</v>
      </c>
      <c r="H384" s="15"/>
      <c r="I384" s="15">
        <f t="shared" si="122"/>
        <v>0</v>
      </c>
      <c r="J384" s="15"/>
      <c r="K384" s="15">
        <f t="shared" si="123"/>
        <v>0</v>
      </c>
      <c r="L384" s="15">
        <v>0</v>
      </c>
      <c r="M384" s="15">
        <f t="shared" si="113"/>
        <v>0</v>
      </c>
      <c r="N384" s="15">
        <v>1</v>
      </c>
      <c r="O384" s="15">
        <f t="shared" si="124"/>
        <v>10000</v>
      </c>
      <c r="P384" s="15">
        <v>1</v>
      </c>
      <c r="Q384" s="15">
        <f t="shared" si="115"/>
        <v>10000</v>
      </c>
      <c r="R384" s="15">
        <v>1</v>
      </c>
      <c r="S384" s="15">
        <f t="shared" si="116"/>
        <v>10000</v>
      </c>
      <c r="T384" s="15"/>
      <c r="U384" s="15">
        <f t="shared" si="117"/>
        <v>0</v>
      </c>
      <c r="V384" s="15">
        <f t="shared" si="121"/>
        <v>30000</v>
      </c>
      <c r="W384" s="17"/>
      <c r="X384" s="17"/>
      <c r="Y384" s="18">
        <v>0.14000000000000001</v>
      </c>
      <c r="Z384" s="21">
        <f t="shared" si="118"/>
        <v>400</v>
      </c>
      <c r="AA384" s="21">
        <v>1</v>
      </c>
      <c r="AB384" s="56">
        <f t="shared" ref="AB384:AB414" si="126">AA384*$AD$383</f>
        <v>10000</v>
      </c>
      <c r="AC384" s="21"/>
      <c r="AE384" s="19"/>
      <c r="AF384" s="20">
        <f>SUMIF('[1]G-Chart'!G:G,[1]Capacity!D384,'[1]G-Chart'!L:L)</f>
        <v>500</v>
      </c>
      <c r="AG384" s="2">
        <f t="shared" si="105"/>
        <v>0</v>
      </c>
      <c r="AH384" s="2">
        <f t="shared" si="106"/>
        <v>0</v>
      </c>
      <c r="AI384" s="2">
        <f t="shared" si="119"/>
        <v>500</v>
      </c>
      <c r="AJ384" s="1">
        <f t="shared" si="107"/>
        <v>500</v>
      </c>
      <c r="AK384" s="1">
        <f t="shared" si="108"/>
        <v>500</v>
      </c>
      <c r="AL384" s="1">
        <f t="shared" si="109"/>
        <v>0</v>
      </c>
      <c r="AM384" s="1">
        <f t="shared" si="120"/>
        <v>1500</v>
      </c>
    </row>
    <row r="385" spans="1:39" x14ac:dyDescent="0.3">
      <c r="A385" s="12">
        <v>383</v>
      </c>
      <c r="B385" s="12" t="s">
        <v>910</v>
      </c>
      <c r="C385" s="13" t="s">
        <v>916</v>
      </c>
      <c r="D385" s="13" t="s">
        <v>916</v>
      </c>
      <c r="E385" s="14" t="s">
        <v>917</v>
      </c>
      <c r="F385" s="15">
        <f t="shared" si="125"/>
        <v>20000</v>
      </c>
      <c r="G385" s="16">
        <f t="shared" si="110"/>
        <v>2.5</v>
      </c>
      <c r="H385" s="15"/>
      <c r="I385" s="15">
        <f t="shared" si="122"/>
        <v>0</v>
      </c>
      <c r="J385" s="15"/>
      <c r="K385" s="15">
        <f t="shared" si="123"/>
        <v>0</v>
      </c>
      <c r="L385" s="15"/>
      <c r="M385" s="15">
        <f t="shared" si="113"/>
        <v>0</v>
      </c>
      <c r="N385" s="15"/>
      <c r="O385" s="15">
        <f t="shared" si="124"/>
        <v>0</v>
      </c>
      <c r="P385" s="15"/>
      <c r="Q385" s="15">
        <f t="shared" si="115"/>
        <v>0</v>
      </c>
      <c r="R385" s="15">
        <v>0.5</v>
      </c>
      <c r="S385" s="15">
        <f t="shared" si="116"/>
        <v>10000</v>
      </c>
      <c r="T385" s="15">
        <v>2</v>
      </c>
      <c r="U385" s="15">
        <f t="shared" si="117"/>
        <v>40000</v>
      </c>
      <c r="V385" s="15">
        <f t="shared" si="121"/>
        <v>50000</v>
      </c>
      <c r="W385" s="17"/>
      <c r="X385" s="17"/>
      <c r="Y385" s="18">
        <v>2.4E-2</v>
      </c>
      <c r="Z385" s="21">
        <f t="shared" si="118"/>
        <v>800</v>
      </c>
      <c r="AA385" s="21">
        <v>2</v>
      </c>
      <c r="AB385" s="56">
        <f>AA385*$AD$383</f>
        <v>20000</v>
      </c>
      <c r="AC385" s="21"/>
      <c r="AE385" s="19"/>
      <c r="AF385" s="20">
        <f>SUMIF('[1]G-Chart'!G:G,[1]Capacity!D385,'[1]G-Chart'!L:L)</f>
        <v>3305</v>
      </c>
      <c r="AG385" s="2">
        <f t="shared" si="105"/>
        <v>0</v>
      </c>
      <c r="AH385" s="2">
        <f t="shared" si="106"/>
        <v>0</v>
      </c>
      <c r="AI385" s="2">
        <f t="shared" si="119"/>
        <v>0</v>
      </c>
      <c r="AJ385" s="1">
        <f t="shared" si="107"/>
        <v>0</v>
      </c>
      <c r="AK385" s="1">
        <f t="shared" si="108"/>
        <v>1652.5</v>
      </c>
      <c r="AL385" s="1">
        <f t="shared" si="109"/>
        <v>6610</v>
      </c>
      <c r="AM385" s="1">
        <f t="shared" si="120"/>
        <v>8262.5</v>
      </c>
    </row>
    <row r="386" spans="1:39" x14ac:dyDescent="0.3">
      <c r="A386" s="12">
        <v>384</v>
      </c>
      <c r="B386" s="12" t="s">
        <v>910</v>
      </c>
      <c r="C386" s="13" t="s">
        <v>918</v>
      </c>
      <c r="D386" s="13" t="s">
        <v>918</v>
      </c>
      <c r="E386" s="14" t="s">
        <v>919</v>
      </c>
      <c r="F386" s="15">
        <f t="shared" si="125"/>
        <v>20000</v>
      </c>
      <c r="G386" s="16">
        <f t="shared" si="110"/>
        <v>2.5</v>
      </c>
      <c r="H386" s="15"/>
      <c r="I386" s="15">
        <f t="shared" si="122"/>
        <v>0</v>
      </c>
      <c r="J386" s="15"/>
      <c r="K386" s="15">
        <f t="shared" si="123"/>
        <v>0</v>
      </c>
      <c r="L386" s="15"/>
      <c r="M386" s="15">
        <f t="shared" si="113"/>
        <v>0</v>
      </c>
      <c r="N386" s="15"/>
      <c r="O386" s="15">
        <f t="shared" si="124"/>
        <v>0</v>
      </c>
      <c r="P386" s="15"/>
      <c r="Q386" s="15">
        <f t="shared" si="115"/>
        <v>0</v>
      </c>
      <c r="R386" s="15">
        <v>0.5</v>
      </c>
      <c r="S386" s="15">
        <f t="shared" si="116"/>
        <v>10000</v>
      </c>
      <c r="T386" s="15">
        <v>2</v>
      </c>
      <c r="U386" s="15">
        <f t="shared" si="117"/>
        <v>40000</v>
      </c>
      <c r="V386" s="15">
        <f t="shared" si="121"/>
        <v>50000</v>
      </c>
      <c r="W386" s="17"/>
      <c r="X386" s="17"/>
      <c r="Y386" s="18">
        <v>2.4E-2</v>
      </c>
      <c r="Z386" s="21">
        <f t="shared" si="118"/>
        <v>800</v>
      </c>
      <c r="AA386" s="21">
        <v>2</v>
      </c>
      <c r="AB386" s="56">
        <f t="shared" si="126"/>
        <v>20000</v>
      </c>
      <c r="AC386" s="21"/>
      <c r="AE386" s="19"/>
      <c r="AF386" s="20">
        <f>SUMIF('[1]G-Chart'!G:G,[1]Capacity!D386,'[1]G-Chart'!L:L)</f>
        <v>2036</v>
      </c>
      <c r="AG386" s="2">
        <f t="shared" si="105"/>
        <v>0</v>
      </c>
      <c r="AH386" s="2">
        <f t="shared" si="106"/>
        <v>0</v>
      </c>
      <c r="AI386" s="2">
        <f t="shared" si="119"/>
        <v>0</v>
      </c>
      <c r="AJ386" s="1">
        <f t="shared" si="107"/>
        <v>0</v>
      </c>
      <c r="AK386" s="1">
        <f t="shared" si="108"/>
        <v>1018</v>
      </c>
      <c r="AL386" s="1">
        <f t="shared" si="109"/>
        <v>4072</v>
      </c>
      <c r="AM386" s="1">
        <f t="shared" si="120"/>
        <v>5090</v>
      </c>
    </row>
    <row r="387" spans="1:39" x14ac:dyDescent="0.3">
      <c r="A387" s="12">
        <v>385</v>
      </c>
      <c r="B387" s="12" t="s">
        <v>910</v>
      </c>
      <c r="C387" s="13" t="s">
        <v>920</v>
      </c>
      <c r="D387" s="13" t="s">
        <v>920</v>
      </c>
      <c r="E387" s="14" t="s">
        <v>921</v>
      </c>
      <c r="F387" s="15">
        <f t="shared" si="125"/>
        <v>20000</v>
      </c>
      <c r="G387" s="16">
        <f t="shared" si="110"/>
        <v>3</v>
      </c>
      <c r="H387" s="15"/>
      <c r="I387" s="15">
        <f t="shared" si="122"/>
        <v>0</v>
      </c>
      <c r="J387" s="15"/>
      <c r="K387" s="15">
        <f t="shared" si="123"/>
        <v>0</v>
      </c>
      <c r="L387" s="15"/>
      <c r="M387" s="15">
        <f t="shared" si="113"/>
        <v>0</v>
      </c>
      <c r="N387" s="15">
        <v>1</v>
      </c>
      <c r="O387" s="15">
        <f t="shared" si="124"/>
        <v>20000</v>
      </c>
      <c r="P387" s="15">
        <v>1</v>
      </c>
      <c r="Q387" s="15">
        <f t="shared" si="115"/>
        <v>20000</v>
      </c>
      <c r="R387" s="15">
        <v>1</v>
      </c>
      <c r="S387" s="15">
        <f t="shared" si="116"/>
        <v>20000</v>
      </c>
      <c r="T387" s="15"/>
      <c r="U387" s="15">
        <f t="shared" si="117"/>
        <v>0</v>
      </c>
      <c r="V387" s="15">
        <f t="shared" si="121"/>
        <v>60000</v>
      </c>
      <c r="W387" s="17"/>
      <c r="X387" s="17"/>
      <c r="Y387" s="18">
        <v>0.11</v>
      </c>
      <c r="Z387" s="21">
        <f t="shared" si="118"/>
        <v>800</v>
      </c>
      <c r="AA387" s="21">
        <v>2</v>
      </c>
      <c r="AB387" s="56">
        <f t="shared" si="126"/>
        <v>20000</v>
      </c>
      <c r="AC387" s="21"/>
      <c r="AE387" s="19"/>
      <c r="AF387" s="20">
        <f>SUMIF('[1]G-Chart'!G:G,[1]Capacity!D387,'[1]G-Chart'!L:L)</f>
        <v>1262</v>
      </c>
      <c r="AG387" s="2">
        <f t="shared" ref="AG387:AG450" si="127">AF387*J387</f>
        <v>0</v>
      </c>
      <c r="AH387" s="2">
        <f t="shared" ref="AH387:AH450" si="128">AF387*L387</f>
        <v>0</v>
      </c>
      <c r="AI387" s="2">
        <f t="shared" si="119"/>
        <v>1262</v>
      </c>
      <c r="AJ387" s="1">
        <f t="shared" ref="AJ387:AJ450" si="129">AF387*P387</f>
        <v>1262</v>
      </c>
      <c r="AK387" s="1">
        <f t="shared" ref="AK387:AK450" si="130">AF387*R387</f>
        <v>1262</v>
      </c>
      <c r="AL387" s="1">
        <f t="shared" ref="AL387:AL450" si="131">AF387*T387</f>
        <v>0</v>
      </c>
      <c r="AM387" s="1">
        <f t="shared" si="120"/>
        <v>3786</v>
      </c>
    </row>
    <row r="388" spans="1:39" x14ac:dyDescent="0.3">
      <c r="A388" s="12">
        <v>386</v>
      </c>
      <c r="B388" s="12" t="s">
        <v>910</v>
      </c>
      <c r="C388" s="13" t="s">
        <v>922</v>
      </c>
      <c r="D388" s="13" t="s">
        <v>922</v>
      </c>
      <c r="E388" s="14" t="s">
        <v>923</v>
      </c>
      <c r="F388" s="15">
        <f t="shared" si="125"/>
        <v>10000</v>
      </c>
      <c r="G388" s="16">
        <f t="shared" ref="G388:G451" si="132">H388+J388+L388+N388+P388+R388+T388</f>
        <v>4</v>
      </c>
      <c r="H388" s="15"/>
      <c r="I388" s="15">
        <f t="shared" si="122"/>
        <v>0</v>
      </c>
      <c r="J388" s="15"/>
      <c r="K388" s="15">
        <f t="shared" si="123"/>
        <v>0</v>
      </c>
      <c r="L388" s="15"/>
      <c r="M388" s="15">
        <f t="shared" ref="M388:M416" si="133">L388*F388</f>
        <v>0</v>
      </c>
      <c r="N388" s="15">
        <v>2</v>
      </c>
      <c r="O388" s="15">
        <f t="shared" si="124"/>
        <v>20000</v>
      </c>
      <c r="P388" s="15">
        <v>1</v>
      </c>
      <c r="Q388" s="15">
        <f t="shared" ref="Q388:Q416" si="134">P388*F388</f>
        <v>10000</v>
      </c>
      <c r="R388" s="15">
        <v>1</v>
      </c>
      <c r="S388" s="15">
        <f t="shared" ref="S388:S451" si="135">R388*F388</f>
        <v>10000</v>
      </c>
      <c r="T388" s="15"/>
      <c r="U388" s="15">
        <f t="shared" ref="U388:U451" si="136">T388*F388</f>
        <v>0</v>
      </c>
      <c r="V388" s="15">
        <f t="shared" si="121"/>
        <v>40000</v>
      </c>
      <c r="W388" s="17"/>
      <c r="X388" s="17"/>
      <c r="Y388" s="18">
        <v>0.23599999999999999</v>
      </c>
      <c r="Z388" s="21">
        <f t="shared" ref="Z388:Z416" si="137">F388/25</f>
        <v>400</v>
      </c>
      <c r="AA388" s="21">
        <v>1</v>
      </c>
      <c r="AB388" s="1">
        <f t="shared" si="126"/>
        <v>10000</v>
      </c>
      <c r="AC388" s="21"/>
      <c r="AD388" s="31">
        <v>10000</v>
      </c>
      <c r="AE388" s="32" t="s">
        <v>924</v>
      </c>
      <c r="AF388" s="20">
        <f>SUMIF('[1]G-Chart'!G:G,[1]Capacity!D388,'[1]G-Chart'!L:L)</f>
        <v>400</v>
      </c>
      <c r="AG388" s="2">
        <f t="shared" si="127"/>
        <v>0</v>
      </c>
      <c r="AH388" s="2">
        <f t="shared" si="128"/>
        <v>0</v>
      </c>
      <c r="AI388" s="2">
        <f t="shared" ref="AI388:AI451" si="138">AF388*N388</f>
        <v>800</v>
      </c>
      <c r="AJ388" s="1">
        <f t="shared" si="129"/>
        <v>400</v>
      </c>
      <c r="AK388" s="1">
        <f t="shared" si="130"/>
        <v>400</v>
      </c>
      <c r="AL388" s="1">
        <f t="shared" si="131"/>
        <v>0</v>
      </c>
      <c r="AM388" s="1">
        <f t="shared" si="120"/>
        <v>1600</v>
      </c>
    </row>
    <row r="389" spans="1:39" x14ac:dyDescent="0.3">
      <c r="A389" s="12">
        <v>387</v>
      </c>
      <c r="B389" s="12" t="s">
        <v>910</v>
      </c>
      <c r="C389" s="13" t="s">
        <v>925</v>
      </c>
      <c r="D389" s="13" t="s">
        <v>925</v>
      </c>
      <c r="E389" s="14" t="s">
        <v>926</v>
      </c>
      <c r="F389" s="15">
        <f t="shared" si="125"/>
        <v>10000</v>
      </c>
      <c r="G389" s="16">
        <f t="shared" si="132"/>
        <v>2</v>
      </c>
      <c r="H389" s="15"/>
      <c r="I389" s="15">
        <f t="shared" si="122"/>
        <v>0</v>
      </c>
      <c r="J389" s="15"/>
      <c r="K389" s="15">
        <f t="shared" si="123"/>
        <v>0</v>
      </c>
      <c r="L389" s="15"/>
      <c r="M389" s="15">
        <f t="shared" si="133"/>
        <v>0</v>
      </c>
      <c r="N389" s="15">
        <v>1</v>
      </c>
      <c r="O389" s="15">
        <f t="shared" si="124"/>
        <v>10000</v>
      </c>
      <c r="P389" s="15">
        <v>1</v>
      </c>
      <c r="Q389" s="15">
        <f t="shared" si="134"/>
        <v>10000</v>
      </c>
      <c r="R389" s="15"/>
      <c r="S389" s="15">
        <f t="shared" si="135"/>
        <v>0</v>
      </c>
      <c r="T389" s="15"/>
      <c r="U389" s="15">
        <f t="shared" si="136"/>
        <v>0</v>
      </c>
      <c r="V389" s="15">
        <f t="shared" si="121"/>
        <v>20000</v>
      </c>
      <c r="W389" s="17"/>
      <c r="X389" s="17"/>
      <c r="Y389" s="18">
        <v>0.4</v>
      </c>
      <c r="Z389" s="21">
        <f t="shared" si="137"/>
        <v>400</v>
      </c>
      <c r="AA389" s="21">
        <v>1</v>
      </c>
      <c r="AB389" s="1">
        <f t="shared" si="126"/>
        <v>10000</v>
      </c>
      <c r="AC389" s="21"/>
      <c r="AD389" s="31">
        <v>10000</v>
      </c>
      <c r="AE389" s="32" t="s">
        <v>927</v>
      </c>
      <c r="AF389" s="20">
        <f>SUMIF('[1]G-Chart'!G:G,[1]Capacity!D389,'[1]G-Chart'!L:L)</f>
        <v>2975</v>
      </c>
      <c r="AG389" s="2">
        <f t="shared" si="127"/>
        <v>0</v>
      </c>
      <c r="AH389" s="2">
        <f t="shared" si="128"/>
        <v>0</v>
      </c>
      <c r="AI389" s="2">
        <f t="shared" si="138"/>
        <v>2975</v>
      </c>
      <c r="AJ389" s="1">
        <f t="shared" si="129"/>
        <v>2975</v>
      </c>
      <c r="AK389" s="1">
        <f t="shared" si="130"/>
        <v>0</v>
      </c>
      <c r="AL389" s="1">
        <f t="shared" si="131"/>
        <v>0</v>
      </c>
      <c r="AM389" s="1">
        <f t="shared" si="120"/>
        <v>5950</v>
      </c>
    </row>
    <row r="390" spans="1:39" x14ac:dyDescent="0.3">
      <c r="A390" s="12">
        <v>388</v>
      </c>
      <c r="B390" s="12" t="s">
        <v>910</v>
      </c>
      <c r="C390" s="13" t="s">
        <v>928</v>
      </c>
      <c r="D390" s="13" t="s">
        <v>928</v>
      </c>
      <c r="E390" s="14" t="s">
        <v>929</v>
      </c>
      <c r="F390" s="15">
        <f t="shared" si="125"/>
        <v>10000</v>
      </c>
      <c r="G390" s="16">
        <f t="shared" si="132"/>
        <v>2</v>
      </c>
      <c r="H390" s="15"/>
      <c r="I390" s="15">
        <f t="shared" si="122"/>
        <v>0</v>
      </c>
      <c r="J390" s="15"/>
      <c r="K390" s="15">
        <f t="shared" si="123"/>
        <v>0</v>
      </c>
      <c r="L390" s="15"/>
      <c r="M390" s="15">
        <f t="shared" si="133"/>
        <v>0</v>
      </c>
      <c r="N390" s="15">
        <v>2</v>
      </c>
      <c r="O390" s="15">
        <f t="shared" si="124"/>
        <v>20000</v>
      </c>
      <c r="P390" s="15"/>
      <c r="Q390" s="15">
        <f t="shared" si="134"/>
        <v>0</v>
      </c>
      <c r="R390" s="15"/>
      <c r="S390" s="15">
        <f t="shared" si="135"/>
        <v>0</v>
      </c>
      <c r="T390" s="15"/>
      <c r="U390" s="15">
        <f t="shared" si="136"/>
        <v>0</v>
      </c>
      <c r="V390" s="15">
        <f t="shared" si="121"/>
        <v>20000</v>
      </c>
      <c r="W390" s="17"/>
      <c r="X390" s="17"/>
      <c r="Y390" s="18">
        <v>0.14399999999999999</v>
      </c>
      <c r="Z390" s="21">
        <f t="shared" si="137"/>
        <v>400</v>
      </c>
      <c r="AA390" s="21">
        <v>1</v>
      </c>
      <c r="AB390" s="1">
        <f t="shared" si="126"/>
        <v>10000</v>
      </c>
      <c r="AC390" s="21"/>
      <c r="AE390" s="19"/>
      <c r="AF390" s="20">
        <f>SUMIF('[1]G-Chart'!G:G,[1]Capacity!D390,'[1]G-Chart'!L:L)</f>
        <v>1237</v>
      </c>
      <c r="AG390" s="2">
        <f t="shared" si="127"/>
        <v>0</v>
      </c>
      <c r="AH390" s="2">
        <f t="shared" si="128"/>
        <v>0</v>
      </c>
      <c r="AI390" s="2">
        <f t="shared" si="138"/>
        <v>2474</v>
      </c>
      <c r="AJ390" s="1">
        <f t="shared" si="129"/>
        <v>0</v>
      </c>
      <c r="AK390" s="1">
        <f t="shared" si="130"/>
        <v>0</v>
      </c>
      <c r="AL390" s="1">
        <f t="shared" si="131"/>
        <v>0</v>
      </c>
      <c r="AM390" s="1">
        <f t="shared" si="120"/>
        <v>2474</v>
      </c>
    </row>
    <row r="391" spans="1:39" x14ac:dyDescent="0.3">
      <c r="A391" s="12">
        <v>389</v>
      </c>
      <c r="B391" s="12" t="s">
        <v>910</v>
      </c>
      <c r="C391" s="13" t="s">
        <v>930</v>
      </c>
      <c r="D391" s="13" t="s">
        <v>930</v>
      </c>
      <c r="E391" s="14" t="s">
        <v>931</v>
      </c>
      <c r="F391" s="15">
        <f t="shared" si="125"/>
        <v>10000</v>
      </c>
      <c r="G391" s="16">
        <f t="shared" si="132"/>
        <v>2</v>
      </c>
      <c r="H391" s="15"/>
      <c r="I391" s="15">
        <f t="shared" si="122"/>
        <v>0</v>
      </c>
      <c r="J391" s="15"/>
      <c r="K391" s="15">
        <f t="shared" si="123"/>
        <v>0</v>
      </c>
      <c r="L391" s="15">
        <v>1</v>
      </c>
      <c r="M391" s="15">
        <f t="shared" si="133"/>
        <v>10000</v>
      </c>
      <c r="N391" s="15">
        <v>1</v>
      </c>
      <c r="O391" s="15">
        <f t="shared" si="124"/>
        <v>10000</v>
      </c>
      <c r="P391" s="15"/>
      <c r="Q391" s="15">
        <f t="shared" si="134"/>
        <v>0</v>
      </c>
      <c r="R391" s="15"/>
      <c r="S391" s="15">
        <f t="shared" si="135"/>
        <v>0</v>
      </c>
      <c r="T391" s="15"/>
      <c r="U391" s="15">
        <f t="shared" si="136"/>
        <v>0</v>
      </c>
      <c r="V391" s="15">
        <f t="shared" si="121"/>
        <v>20000</v>
      </c>
      <c r="W391" s="17"/>
      <c r="X391" s="17"/>
      <c r="Y391" s="18">
        <v>0.38</v>
      </c>
      <c r="Z391" s="21">
        <f t="shared" si="137"/>
        <v>400</v>
      </c>
      <c r="AA391" s="21">
        <v>1</v>
      </c>
      <c r="AB391" s="1">
        <f t="shared" si="126"/>
        <v>10000</v>
      </c>
      <c r="AC391" s="21"/>
      <c r="AE391" s="19"/>
      <c r="AF391" s="20">
        <f>SUMIF('[1]G-Chart'!G:G,[1]Capacity!D391,'[1]G-Chart'!L:L)</f>
        <v>700</v>
      </c>
      <c r="AG391" s="2">
        <f t="shared" si="127"/>
        <v>0</v>
      </c>
      <c r="AH391" s="2">
        <f t="shared" si="128"/>
        <v>700</v>
      </c>
      <c r="AI391" s="2">
        <f t="shared" si="138"/>
        <v>700</v>
      </c>
      <c r="AJ391" s="1">
        <f t="shared" si="129"/>
        <v>0</v>
      </c>
      <c r="AK391" s="1">
        <f t="shared" si="130"/>
        <v>0</v>
      </c>
      <c r="AL391" s="1">
        <f t="shared" si="131"/>
        <v>0</v>
      </c>
      <c r="AM391" s="1">
        <f t="shared" si="120"/>
        <v>1400</v>
      </c>
    </row>
    <row r="392" spans="1:39" x14ac:dyDescent="0.3">
      <c r="A392" s="12">
        <v>390</v>
      </c>
      <c r="B392" s="12" t="s">
        <v>910</v>
      </c>
      <c r="C392" s="13" t="s">
        <v>932</v>
      </c>
      <c r="D392" s="13" t="s">
        <v>932</v>
      </c>
      <c r="E392" s="14" t="s">
        <v>933</v>
      </c>
      <c r="F392" s="15">
        <f t="shared" si="125"/>
        <v>10000</v>
      </c>
      <c r="G392" s="16">
        <f t="shared" si="132"/>
        <v>2</v>
      </c>
      <c r="H392" s="15"/>
      <c r="I392" s="15">
        <f t="shared" si="122"/>
        <v>0</v>
      </c>
      <c r="J392" s="15"/>
      <c r="K392" s="15">
        <f t="shared" si="123"/>
        <v>0</v>
      </c>
      <c r="L392" s="15"/>
      <c r="M392" s="15">
        <f t="shared" si="133"/>
        <v>0</v>
      </c>
      <c r="N392" s="15">
        <v>1</v>
      </c>
      <c r="O392" s="15">
        <f t="shared" si="124"/>
        <v>10000</v>
      </c>
      <c r="P392" s="15">
        <v>1</v>
      </c>
      <c r="Q392" s="15">
        <f t="shared" si="134"/>
        <v>10000</v>
      </c>
      <c r="R392" s="15"/>
      <c r="S392" s="15">
        <f t="shared" si="135"/>
        <v>0</v>
      </c>
      <c r="T392" s="15"/>
      <c r="U392" s="15">
        <f t="shared" si="136"/>
        <v>0</v>
      </c>
      <c r="V392" s="15">
        <f t="shared" si="121"/>
        <v>20000</v>
      </c>
      <c r="W392" s="17"/>
      <c r="X392" s="17"/>
      <c r="Y392" s="18">
        <v>6.7000000000000004E-2</v>
      </c>
      <c r="Z392" s="21">
        <f t="shared" si="137"/>
        <v>400</v>
      </c>
      <c r="AA392" s="21">
        <v>1</v>
      </c>
      <c r="AB392" s="1">
        <f t="shared" si="126"/>
        <v>10000</v>
      </c>
      <c r="AC392" s="21"/>
      <c r="AD392" s="57">
        <v>0</v>
      </c>
      <c r="AE392" s="32" t="s">
        <v>934</v>
      </c>
      <c r="AF392" s="20">
        <f>SUMIF('[1]G-Chart'!G:G,[1]Capacity!D392,'[1]G-Chart'!L:L)</f>
        <v>716</v>
      </c>
      <c r="AG392" s="2">
        <f t="shared" si="127"/>
        <v>0</v>
      </c>
      <c r="AH392" s="2">
        <f t="shared" si="128"/>
        <v>0</v>
      </c>
      <c r="AI392" s="2">
        <f t="shared" si="138"/>
        <v>716</v>
      </c>
      <c r="AJ392" s="1">
        <f t="shared" si="129"/>
        <v>716</v>
      </c>
      <c r="AK392" s="1">
        <f t="shared" si="130"/>
        <v>0</v>
      </c>
      <c r="AL392" s="1">
        <f t="shared" si="131"/>
        <v>0</v>
      </c>
      <c r="AM392" s="1">
        <f t="shared" si="120"/>
        <v>1432</v>
      </c>
    </row>
    <row r="393" spans="1:39" x14ac:dyDescent="0.3">
      <c r="A393" s="12">
        <v>391</v>
      </c>
      <c r="B393" s="12" t="s">
        <v>910</v>
      </c>
      <c r="C393" s="13" t="s">
        <v>935</v>
      </c>
      <c r="D393" s="13" t="s">
        <v>935</v>
      </c>
      <c r="E393" s="14" t="s">
        <v>936</v>
      </c>
      <c r="F393" s="15">
        <f t="shared" si="125"/>
        <v>10000</v>
      </c>
      <c r="G393" s="16">
        <f t="shared" si="132"/>
        <v>3</v>
      </c>
      <c r="H393" s="15"/>
      <c r="I393" s="15">
        <f t="shared" si="122"/>
        <v>0</v>
      </c>
      <c r="J393" s="15"/>
      <c r="K393" s="15">
        <f t="shared" si="123"/>
        <v>0</v>
      </c>
      <c r="L393" s="15">
        <v>1</v>
      </c>
      <c r="M393" s="15">
        <f t="shared" si="133"/>
        <v>10000</v>
      </c>
      <c r="N393" s="15"/>
      <c r="O393" s="15">
        <f>N393*F393</f>
        <v>0</v>
      </c>
      <c r="P393" s="15"/>
      <c r="Q393" s="15">
        <f t="shared" si="134"/>
        <v>0</v>
      </c>
      <c r="R393" s="15"/>
      <c r="S393" s="15">
        <f t="shared" si="135"/>
        <v>0</v>
      </c>
      <c r="T393" s="15">
        <v>2</v>
      </c>
      <c r="U393" s="15">
        <f t="shared" si="136"/>
        <v>20000</v>
      </c>
      <c r="V393" s="15">
        <f t="shared" si="121"/>
        <v>30000</v>
      </c>
      <c r="W393" s="17"/>
      <c r="X393" s="17"/>
      <c r="Y393" s="18">
        <v>6.2E-2</v>
      </c>
      <c r="Z393" s="21">
        <f t="shared" si="137"/>
        <v>400</v>
      </c>
      <c r="AA393" s="21">
        <v>1</v>
      </c>
      <c r="AB393" s="1">
        <f t="shared" si="126"/>
        <v>10000</v>
      </c>
      <c r="AC393" s="21"/>
      <c r="AE393" s="19"/>
      <c r="AF393" s="20">
        <f>SUMIF('[1]G-Chart'!G:G,[1]Capacity!D393,'[1]G-Chart'!L:L)</f>
        <v>2185</v>
      </c>
      <c r="AG393" s="2">
        <f t="shared" si="127"/>
        <v>0</v>
      </c>
      <c r="AH393" s="2">
        <f t="shared" si="128"/>
        <v>2185</v>
      </c>
      <c r="AI393" s="2">
        <f t="shared" si="138"/>
        <v>0</v>
      </c>
      <c r="AJ393" s="1">
        <f t="shared" si="129"/>
        <v>0</v>
      </c>
      <c r="AK393" s="1">
        <f t="shared" si="130"/>
        <v>0</v>
      </c>
      <c r="AL393" s="1">
        <f t="shared" si="131"/>
        <v>4370</v>
      </c>
      <c r="AM393" s="1">
        <f t="shared" si="120"/>
        <v>6555</v>
      </c>
    </row>
    <row r="394" spans="1:39" x14ac:dyDescent="0.3">
      <c r="A394" s="12">
        <v>392</v>
      </c>
      <c r="B394" s="12" t="s">
        <v>910</v>
      </c>
      <c r="C394" s="13" t="s">
        <v>937</v>
      </c>
      <c r="D394" s="13" t="s">
        <v>937</v>
      </c>
      <c r="E394" s="14" t="s">
        <v>938</v>
      </c>
      <c r="F394" s="15">
        <f t="shared" si="125"/>
        <v>10000</v>
      </c>
      <c r="G394" s="16">
        <f t="shared" si="132"/>
        <v>2</v>
      </c>
      <c r="H394" s="15"/>
      <c r="I394" s="15">
        <f t="shared" si="122"/>
        <v>0</v>
      </c>
      <c r="J394" s="15">
        <v>1.5</v>
      </c>
      <c r="K394" s="15">
        <f t="shared" si="123"/>
        <v>15000</v>
      </c>
      <c r="L394" s="15">
        <v>0.5</v>
      </c>
      <c r="M394" s="15">
        <f t="shared" si="133"/>
        <v>5000</v>
      </c>
      <c r="N394" s="15"/>
      <c r="O394" s="15">
        <f t="shared" si="124"/>
        <v>0</v>
      </c>
      <c r="P394" s="15"/>
      <c r="Q394" s="15">
        <f t="shared" si="134"/>
        <v>0</v>
      </c>
      <c r="R394" s="15"/>
      <c r="S394" s="15">
        <f t="shared" si="135"/>
        <v>0</v>
      </c>
      <c r="T394" s="15"/>
      <c r="U394" s="15">
        <f t="shared" si="136"/>
        <v>0</v>
      </c>
      <c r="V394" s="15">
        <f t="shared" si="121"/>
        <v>20000</v>
      </c>
      <c r="W394" s="17"/>
      <c r="X394" s="17"/>
      <c r="Y394" s="18">
        <v>0.28000000000000003</v>
      </c>
      <c r="Z394" s="21">
        <f t="shared" si="137"/>
        <v>400</v>
      </c>
      <c r="AA394" s="21">
        <v>1</v>
      </c>
      <c r="AB394" s="1">
        <f t="shared" si="126"/>
        <v>10000</v>
      </c>
      <c r="AC394" s="21"/>
      <c r="AE394" s="19"/>
      <c r="AF394" s="20">
        <f>SUMIF('[1]G-Chart'!G:G,[1]Capacity!D394,'[1]G-Chart'!L:L)</f>
        <v>1403</v>
      </c>
      <c r="AG394" s="2">
        <f t="shared" si="127"/>
        <v>2104.5</v>
      </c>
      <c r="AH394" s="2">
        <f t="shared" si="128"/>
        <v>701.5</v>
      </c>
      <c r="AI394" s="2">
        <f t="shared" si="138"/>
        <v>0</v>
      </c>
      <c r="AJ394" s="1">
        <f t="shared" si="129"/>
        <v>0</v>
      </c>
      <c r="AK394" s="1">
        <f t="shared" si="130"/>
        <v>0</v>
      </c>
      <c r="AL394" s="1">
        <f t="shared" si="131"/>
        <v>0</v>
      </c>
      <c r="AM394" s="1">
        <f t="shared" si="120"/>
        <v>2806</v>
      </c>
    </row>
    <row r="395" spans="1:39" x14ac:dyDescent="0.3">
      <c r="A395" s="12">
        <v>393</v>
      </c>
      <c r="B395" s="12" t="s">
        <v>910</v>
      </c>
      <c r="C395" s="13" t="s">
        <v>939</v>
      </c>
      <c r="D395" s="13" t="s">
        <v>939</v>
      </c>
      <c r="E395" s="14" t="s">
        <v>940</v>
      </c>
      <c r="F395" s="15">
        <f t="shared" si="125"/>
        <v>10000</v>
      </c>
      <c r="G395" s="16">
        <f t="shared" si="132"/>
        <v>2</v>
      </c>
      <c r="H395" s="15"/>
      <c r="I395" s="15">
        <f t="shared" si="122"/>
        <v>0</v>
      </c>
      <c r="J395" s="15">
        <v>1.5</v>
      </c>
      <c r="K395" s="15">
        <f t="shared" si="123"/>
        <v>15000</v>
      </c>
      <c r="L395" s="15">
        <v>0.5</v>
      </c>
      <c r="M395" s="15">
        <f t="shared" si="133"/>
        <v>5000</v>
      </c>
      <c r="N395" s="15"/>
      <c r="O395" s="15">
        <f t="shared" si="124"/>
        <v>0</v>
      </c>
      <c r="P395" s="15"/>
      <c r="Q395" s="15">
        <f t="shared" si="134"/>
        <v>0</v>
      </c>
      <c r="R395" s="15"/>
      <c r="S395" s="15">
        <f t="shared" si="135"/>
        <v>0</v>
      </c>
      <c r="T395" s="15"/>
      <c r="U395" s="15">
        <f t="shared" si="136"/>
        <v>0</v>
      </c>
      <c r="V395" s="15">
        <f t="shared" si="121"/>
        <v>20000</v>
      </c>
      <c r="W395" s="17"/>
      <c r="X395" s="17"/>
      <c r="Y395" s="18">
        <v>0.28000000000000003</v>
      </c>
      <c r="Z395" s="21">
        <f t="shared" si="137"/>
        <v>400</v>
      </c>
      <c r="AA395" s="21">
        <v>1</v>
      </c>
      <c r="AB395" s="56">
        <f>AA395*AD524</f>
        <v>10000</v>
      </c>
      <c r="AC395" s="21" t="s">
        <v>941</v>
      </c>
      <c r="AE395" s="19"/>
      <c r="AF395" s="20">
        <f>SUMIF('[1]G-Chart'!G:G,[1]Capacity!D395,'[1]G-Chart'!L:L)</f>
        <v>1502</v>
      </c>
      <c r="AG395" s="2">
        <f t="shared" si="127"/>
        <v>2253</v>
      </c>
      <c r="AH395" s="2">
        <f t="shared" si="128"/>
        <v>751</v>
      </c>
      <c r="AI395" s="2">
        <f t="shared" si="138"/>
        <v>0</v>
      </c>
      <c r="AJ395" s="1">
        <f t="shared" si="129"/>
        <v>0</v>
      </c>
      <c r="AK395" s="1">
        <f t="shared" si="130"/>
        <v>0</v>
      </c>
      <c r="AL395" s="1">
        <f t="shared" si="131"/>
        <v>0</v>
      </c>
      <c r="AM395" s="1">
        <f t="shared" si="120"/>
        <v>3004</v>
      </c>
    </row>
    <row r="396" spans="1:39" x14ac:dyDescent="0.3">
      <c r="A396" s="12">
        <v>394</v>
      </c>
      <c r="B396" s="12" t="s">
        <v>910</v>
      </c>
      <c r="C396" s="13" t="s">
        <v>942</v>
      </c>
      <c r="D396" s="13" t="s">
        <v>942</v>
      </c>
      <c r="E396" s="14" t="s">
        <v>943</v>
      </c>
      <c r="F396" s="15">
        <f t="shared" si="125"/>
        <v>10000</v>
      </c>
      <c r="G396" s="16">
        <f t="shared" si="132"/>
        <v>4</v>
      </c>
      <c r="H396" s="15"/>
      <c r="I396" s="15">
        <f t="shared" si="122"/>
        <v>0</v>
      </c>
      <c r="J396" s="15">
        <v>1</v>
      </c>
      <c r="K396" s="15">
        <f t="shared" si="123"/>
        <v>10000</v>
      </c>
      <c r="L396" s="15">
        <v>2</v>
      </c>
      <c r="M396" s="15">
        <f t="shared" si="133"/>
        <v>20000</v>
      </c>
      <c r="N396" s="15">
        <v>1</v>
      </c>
      <c r="O396" s="15">
        <f t="shared" si="124"/>
        <v>10000</v>
      </c>
      <c r="P396" s="15"/>
      <c r="Q396" s="15">
        <f t="shared" si="134"/>
        <v>0</v>
      </c>
      <c r="R396" s="15"/>
      <c r="S396" s="15">
        <f t="shared" si="135"/>
        <v>0</v>
      </c>
      <c r="T396" s="15"/>
      <c r="U396" s="15">
        <f t="shared" si="136"/>
        <v>0</v>
      </c>
      <c r="V396" s="15">
        <f t="shared" si="121"/>
        <v>40000</v>
      </c>
      <c r="W396" s="17"/>
      <c r="X396" s="17"/>
      <c r="Y396" s="18">
        <v>0.6</v>
      </c>
      <c r="Z396" s="21">
        <f t="shared" si="137"/>
        <v>400</v>
      </c>
      <c r="AA396" s="21">
        <v>1</v>
      </c>
      <c r="AB396" s="56">
        <f>AA396*AD524</f>
        <v>10000</v>
      </c>
      <c r="AC396" s="21" t="s">
        <v>941</v>
      </c>
      <c r="AE396" s="19"/>
      <c r="AF396" s="20">
        <f>SUMIF('[1]G-Chart'!G:G,[1]Capacity!D396,'[1]G-Chart'!L:L)</f>
        <v>1622</v>
      </c>
      <c r="AG396" s="2">
        <f t="shared" si="127"/>
        <v>1622</v>
      </c>
      <c r="AH396" s="2">
        <f t="shared" si="128"/>
        <v>3244</v>
      </c>
      <c r="AI396" s="2">
        <f t="shared" si="138"/>
        <v>1622</v>
      </c>
      <c r="AJ396" s="1">
        <f t="shared" si="129"/>
        <v>0</v>
      </c>
      <c r="AK396" s="1">
        <f t="shared" si="130"/>
        <v>0</v>
      </c>
      <c r="AL396" s="1">
        <f t="shared" si="131"/>
        <v>0</v>
      </c>
      <c r="AM396" s="1">
        <f t="shared" si="120"/>
        <v>6488</v>
      </c>
    </row>
    <row r="397" spans="1:39" x14ac:dyDescent="0.3">
      <c r="A397" s="12">
        <v>395</v>
      </c>
      <c r="B397" s="12" t="s">
        <v>910</v>
      </c>
      <c r="C397" s="13" t="s">
        <v>944</v>
      </c>
      <c r="D397" s="13" t="s">
        <v>944</v>
      </c>
      <c r="E397" s="14" t="s">
        <v>945</v>
      </c>
      <c r="F397" s="15">
        <f t="shared" si="125"/>
        <v>0</v>
      </c>
      <c r="G397" s="16">
        <f t="shared" si="132"/>
        <v>3</v>
      </c>
      <c r="H397" s="15"/>
      <c r="I397" s="15">
        <f t="shared" si="122"/>
        <v>0</v>
      </c>
      <c r="J397" s="15"/>
      <c r="K397" s="15">
        <f t="shared" si="123"/>
        <v>0</v>
      </c>
      <c r="L397" s="15"/>
      <c r="M397" s="15">
        <f t="shared" si="133"/>
        <v>0</v>
      </c>
      <c r="N397" s="15"/>
      <c r="O397" s="15">
        <f t="shared" si="124"/>
        <v>0</v>
      </c>
      <c r="P397" s="15"/>
      <c r="Q397" s="15">
        <f t="shared" si="134"/>
        <v>0</v>
      </c>
      <c r="R397" s="15">
        <v>1</v>
      </c>
      <c r="S397" s="15">
        <f t="shared" si="135"/>
        <v>0</v>
      </c>
      <c r="T397" s="15">
        <v>2</v>
      </c>
      <c r="U397" s="15">
        <f t="shared" si="136"/>
        <v>0</v>
      </c>
      <c r="V397" s="15">
        <f t="shared" si="121"/>
        <v>0</v>
      </c>
      <c r="W397" s="17"/>
      <c r="X397" s="17"/>
      <c r="Y397" s="18">
        <v>3.5000000000000003E-2</v>
      </c>
      <c r="Z397" s="21">
        <f t="shared" si="137"/>
        <v>0</v>
      </c>
      <c r="AA397" s="21">
        <v>1</v>
      </c>
      <c r="AB397" s="56"/>
      <c r="AC397" s="21"/>
      <c r="AE397" s="19"/>
      <c r="AF397" s="20">
        <f>SUMIF('[1]G-Chart'!G:G,[1]Capacity!D397,'[1]G-Chart'!L:L)</f>
        <v>12181</v>
      </c>
      <c r="AG397" s="2">
        <f t="shared" si="127"/>
        <v>0</v>
      </c>
      <c r="AH397" s="2">
        <f t="shared" si="128"/>
        <v>0</v>
      </c>
      <c r="AI397" s="2">
        <f t="shared" si="138"/>
        <v>0</v>
      </c>
      <c r="AJ397" s="1">
        <f t="shared" si="129"/>
        <v>0</v>
      </c>
      <c r="AK397" s="1">
        <f t="shared" si="130"/>
        <v>12181</v>
      </c>
      <c r="AL397" s="1">
        <f t="shared" si="131"/>
        <v>24362</v>
      </c>
      <c r="AM397" s="1">
        <f t="shared" si="120"/>
        <v>36543</v>
      </c>
    </row>
    <row r="398" spans="1:39" x14ac:dyDescent="0.3">
      <c r="A398" s="12">
        <v>396</v>
      </c>
      <c r="B398" s="12" t="s">
        <v>910</v>
      </c>
      <c r="C398" s="13" t="s">
        <v>946</v>
      </c>
      <c r="D398" s="13" t="s">
        <v>946</v>
      </c>
      <c r="E398" s="14" t="s">
        <v>947</v>
      </c>
      <c r="F398" s="15">
        <f t="shared" si="125"/>
        <v>10000</v>
      </c>
      <c r="G398" s="16">
        <f t="shared" si="132"/>
        <v>4</v>
      </c>
      <c r="H398" s="15"/>
      <c r="I398" s="15">
        <f t="shared" si="122"/>
        <v>0</v>
      </c>
      <c r="J398" s="15"/>
      <c r="K398" s="15">
        <f t="shared" si="123"/>
        <v>0</v>
      </c>
      <c r="L398" s="15"/>
      <c r="M398" s="15">
        <f t="shared" si="133"/>
        <v>0</v>
      </c>
      <c r="N398" s="15"/>
      <c r="O398" s="15">
        <f t="shared" si="124"/>
        <v>0</v>
      </c>
      <c r="P398" s="15"/>
      <c r="Q398" s="15">
        <f t="shared" si="134"/>
        <v>0</v>
      </c>
      <c r="R398" s="15">
        <v>2</v>
      </c>
      <c r="S398" s="15">
        <f t="shared" si="135"/>
        <v>20000</v>
      </c>
      <c r="T398" s="15">
        <v>2</v>
      </c>
      <c r="U398" s="15">
        <f t="shared" si="136"/>
        <v>20000</v>
      </c>
      <c r="V398" s="15">
        <f t="shared" si="121"/>
        <v>40000</v>
      </c>
      <c r="W398" s="17"/>
      <c r="X398" s="17"/>
      <c r="Y398" s="18">
        <v>1.4999999999999999E-2</v>
      </c>
      <c r="Z398" s="21">
        <f t="shared" si="137"/>
        <v>400</v>
      </c>
      <c r="AA398" s="21">
        <v>1</v>
      </c>
      <c r="AB398" s="1">
        <f t="shared" si="126"/>
        <v>10000</v>
      </c>
      <c r="AC398" s="21"/>
      <c r="AE398" s="19"/>
      <c r="AF398" s="20">
        <f>SUMIF('[1]G-Chart'!G:G,[1]Capacity!D398,'[1]G-Chart'!L:L)</f>
        <v>2857</v>
      </c>
      <c r="AG398" s="2">
        <f t="shared" si="127"/>
        <v>0</v>
      </c>
      <c r="AH398" s="2">
        <f t="shared" si="128"/>
        <v>0</v>
      </c>
      <c r="AI398" s="2">
        <f t="shared" si="138"/>
        <v>0</v>
      </c>
      <c r="AJ398" s="1">
        <f t="shared" si="129"/>
        <v>0</v>
      </c>
      <c r="AK398" s="1">
        <f t="shared" si="130"/>
        <v>5714</v>
      </c>
      <c r="AL398" s="1">
        <f t="shared" si="131"/>
        <v>5714</v>
      </c>
      <c r="AM398" s="1">
        <f t="shared" si="120"/>
        <v>11428</v>
      </c>
    </row>
    <row r="399" spans="1:39" x14ac:dyDescent="0.3">
      <c r="A399" s="12">
        <v>397</v>
      </c>
      <c r="B399" s="12" t="s">
        <v>910</v>
      </c>
      <c r="C399" s="13" t="s">
        <v>948</v>
      </c>
      <c r="D399" s="13" t="s">
        <v>948</v>
      </c>
      <c r="E399" s="14" t="s">
        <v>949</v>
      </c>
      <c r="F399" s="15">
        <f t="shared" si="125"/>
        <v>10000</v>
      </c>
      <c r="G399" s="16">
        <f t="shared" si="132"/>
        <v>3</v>
      </c>
      <c r="H399" s="15"/>
      <c r="I399" s="15">
        <f t="shared" si="122"/>
        <v>0</v>
      </c>
      <c r="J399" s="15"/>
      <c r="K399" s="15">
        <f t="shared" si="123"/>
        <v>0</v>
      </c>
      <c r="L399" s="15"/>
      <c r="M399" s="15">
        <f t="shared" si="133"/>
        <v>0</v>
      </c>
      <c r="N399" s="15">
        <v>2</v>
      </c>
      <c r="O399" s="15">
        <f t="shared" si="124"/>
        <v>20000</v>
      </c>
      <c r="P399" s="15">
        <v>1</v>
      </c>
      <c r="Q399" s="15">
        <f t="shared" si="134"/>
        <v>10000</v>
      </c>
      <c r="R399" s="15"/>
      <c r="S399" s="15">
        <f t="shared" si="135"/>
        <v>0</v>
      </c>
      <c r="T399" s="15"/>
      <c r="U399" s="15">
        <f t="shared" si="136"/>
        <v>0</v>
      </c>
      <c r="V399" s="15">
        <f t="shared" si="121"/>
        <v>30000</v>
      </c>
      <c r="W399" s="17"/>
      <c r="X399" s="17"/>
      <c r="Y399" s="18">
        <v>0.12</v>
      </c>
      <c r="Z399" s="21">
        <f t="shared" si="137"/>
        <v>400</v>
      </c>
      <c r="AA399" s="21">
        <v>1</v>
      </c>
      <c r="AB399" s="1">
        <f>AA399*AD524</f>
        <v>10000</v>
      </c>
      <c r="AC399" s="21" t="s">
        <v>941</v>
      </c>
      <c r="AE399" s="19"/>
      <c r="AF399" s="20">
        <f>SUMIF('[1]G-Chart'!G:G,[1]Capacity!D399,'[1]G-Chart'!L:L)</f>
        <v>3015</v>
      </c>
      <c r="AG399" s="2">
        <f t="shared" si="127"/>
        <v>0</v>
      </c>
      <c r="AH399" s="2">
        <f t="shared" si="128"/>
        <v>0</v>
      </c>
      <c r="AI399" s="2">
        <f t="shared" si="138"/>
        <v>6030</v>
      </c>
      <c r="AJ399" s="1">
        <f t="shared" si="129"/>
        <v>3015</v>
      </c>
      <c r="AK399" s="1">
        <f t="shared" si="130"/>
        <v>0</v>
      </c>
      <c r="AL399" s="1">
        <f t="shared" si="131"/>
        <v>0</v>
      </c>
      <c r="AM399" s="1">
        <f t="shared" si="120"/>
        <v>9045</v>
      </c>
    </row>
    <row r="400" spans="1:39" x14ac:dyDescent="0.3">
      <c r="A400" s="12">
        <v>398</v>
      </c>
      <c r="B400" s="12" t="s">
        <v>910</v>
      </c>
      <c r="C400" s="13" t="s">
        <v>950</v>
      </c>
      <c r="D400" s="13" t="s">
        <v>950</v>
      </c>
      <c r="E400" s="14" t="s">
        <v>951</v>
      </c>
      <c r="F400" s="15">
        <f t="shared" si="125"/>
        <v>10000</v>
      </c>
      <c r="G400" s="16">
        <f t="shared" si="132"/>
        <v>2</v>
      </c>
      <c r="H400" s="15"/>
      <c r="I400" s="15">
        <f t="shared" si="122"/>
        <v>0</v>
      </c>
      <c r="J400" s="15"/>
      <c r="K400" s="15">
        <f t="shared" si="123"/>
        <v>0</v>
      </c>
      <c r="L400" s="15"/>
      <c r="M400" s="15">
        <f t="shared" si="133"/>
        <v>0</v>
      </c>
      <c r="N400" s="15"/>
      <c r="O400" s="15">
        <f t="shared" si="124"/>
        <v>0</v>
      </c>
      <c r="P400" s="15"/>
      <c r="Q400" s="15">
        <f t="shared" si="134"/>
        <v>0</v>
      </c>
      <c r="R400" s="15">
        <v>2</v>
      </c>
      <c r="S400" s="15">
        <f t="shared" si="135"/>
        <v>20000</v>
      </c>
      <c r="T400" s="15"/>
      <c r="U400" s="15">
        <f t="shared" si="136"/>
        <v>0</v>
      </c>
      <c r="V400" s="15">
        <f t="shared" si="121"/>
        <v>20000</v>
      </c>
      <c r="W400" s="17"/>
      <c r="X400" s="17"/>
      <c r="Y400" s="18">
        <v>4.1000000000000002E-2</v>
      </c>
      <c r="Z400" s="21">
        <f t="shared" si="137"/>
        <v>400</v>
      </c>
      <c r="AA400" s="21">
        <v>1</v>
      </c>
      <c r="AB400" s="56">
        <f>AA400*AD524</f>
        <v>10000</v>
      </c>
      <c r="AC400" s="21" t="s">
        <v>941</v>
      </c>
      <c r="AE400" s="19"/>
      <c r="AF400" s="20">
        <f>SUMIF('[1]G-Chart'!G:G,[1]Capacity!D400,'[1]G-Chart'!L:L)</f>
        <v>1585</v>
      </c>
      <c r="AG400" s="2">
        <f t="shared" si="127"/>
        <v>0</v>
      </c>
      <c r="AH400" s="2">
        <f t="shared" si="128"/>
        <v>0</v>
      </c>
      <c r="AI400" s="2">
        <f t="shared" si="138"/>
        <v>0</v>
      </c>
      <c r="AJ400" s="1">
        <f t="shared" si="129"/>
        <v>0</v>
      </c>
      <c r="AK400" s="1">
        <f t="shared" si="130"/>
        <v>3170</v>
      </c>
      <c r="AL400" s="1">
        <f t="shared" si="131"/>
        <v>0</v>
      </c>
      <c r="AM400" s="1">
        <f t="shared" si="120"/>
        <v>3170</v>
      </c>
    </row>
    <row r="401" spans="1:39" x14ac:dyDescent="0.3">
      <c r="A401" s="12">
        <v>399</v>
      </c>
      <c r="B401" s="12" t="s">
        <v>910</v>
      </c>
      <c r="C401" s="13" t="s">
        <v>952</v>
      </c>
      <c r="D401" s="23" t="s">
        <v>952</v>
      </c>
      <c r="E401" s="14" t="s">
        <v>953</v>
      </c>
      <c r="F401" s="15">
        <v>0</v>
      </c>
      <c r="G401" s="16">
        <f t="shared" si="132"/>
        <v>2</v>
      </c>
      <c r="H401" s="15"/>
      <c r="I401" s="15">
        <f t="shared" si="122"/>
        <v>0</v>
      </c>
      <c r="J401" s="15"/>
      <c r="K401" s="15">
        <f t="shared" si="123"/>
        <v>0</v>
      </c>
      <c r="L401" s="15"/>
      <c r="M401" s="15">
        <f t="shared" si="133"/>
        <v>0</v>
      </c>
      <c r="N401" s="15"/>
      <c r="O401" s="15">
        <f t="shared" si="124"/>
        <v>0</v>
      </c>
      <c r="P401" s="15"/>
      <c r="Q401" s="15">
        <f t="shared" si="134"/>
        <v>0</v>
      </c>
      <c r="R401" s="15"/>
      <c r="S401" s="15">
        <f t="shared" si="135"/>
        <v>0</v>
      </c>
      <c r="T401" s="15">
        <v>2</v>
      </c>
      <c r="U401" s="15">
        <f t="shared" si="136"/>
        <v>0</v>
      </c>
      <c r="V401" s="15">
        <f t="shared" si="121"/>
        <v>0</v>
      </c>
      <c r="W401" s="17"/>
      <c r="X401" s="17"/>
      <c r="Y401" s="18">
        <v>3.5999999999999997E-2</v>
      </c>
      <c r="Z401" s="21">
        <f t="shared" si="137"/>
        <v>0</v>
      </c>
      <c r="AA401" s="21">
        <v>2</v>
      </c>
      <c r="AB401" s="56">
        <v>0</v>
      </c>
      <c r="AC401" s="21"/>
      <c r="AE401" s="19"/>
      <c r="AF401" s="20">
        <f>SUMIF('[1]G-Chart'!G:G,[1]Capacity!D401,'[1]G-Chart'!L:L)</f>
        <v>-19880</v>
      </c>
      <c r="AG401" s="2">
        <f t="shared" si="127"/>
        <v>0</v>
      </c>
      <c r="AH401" s="2">
        <f t="shared" si="128"/>
        <v>0</v>
      </c>
      <c r="AI401" s="2">
        <f t="shared" si="138"/>
        <v>0</v>
      </c>
      <c r="AJ401" s="1">
        <f t="shared" si="129"/>
        <v>0</v>
      </c>
      <c r="AK401" s="1">
        <f t="shared" si="130"/>
        <v>0</v>
      </c>
      <c r="AL401" s="1">
        <v>0</v>
      </c>
      <c r="AM401" s="1">
        <f t="shared" si="120"/>
        <v>-39760</v>
      </c>
    </row>
    <row r="402" spans="1:39" x14ac:dyDescent="0.3">
      <c r="A402" s="12">
        <v>400</v>
      </c>
      <c r="B402" s="12" t="s">
        <v>910</v>
      </c>
      <c r="C402" s="13" t="s">
        <v>954</v>
      </c>
      <c r="D402" s="13" t="s">
        <v>954</v>
      </c>
      <c r="E402" s="14" t="s">
        <v>955</v>
      </c>
      <c r="F402" s="15">
        <f t="shared" si="125"/>
        <v>10000</v>
      </c>
      <c r="G402" s="16">
        <f t="shared" si="132"/>
        <v>3</v>
      </c>
      <c r="H402" s="15"/>
      <c r="I402" s="15">
        <f t="shared" si="122"/>
        <v>0</v>
      </c>
      <c r="J402" s="15"/>
      <c r="K402" s="15">
        <f t="shared" si="123"/>
        <v>0</v>
      </c>
      <c r="L402" s="15">
        <v>1</v>
      </c>
      <c r="M402" s="15">
        <f t="shared" si="133"/>
        <v>10000</v>
      </c>
      <c r="N402" s="15">
        <v>1</v>
      </c>
      <c r="O402" s="15">
        <f t="shared" si="124"/>
        <v>10000</v>
      </c>
      <c r="P402" s="15"/>
      <c r="Q402" s="15">
        <f t="shared" si="134"/>
        <v>0</v>
      </c>
      <c r="R402" s="15"/>
      <c r="S402" s="15">
        <f t="shared" si="135"/>
        <v>0</v>
      </c>
      <c r="T402" s="15">
        <v>1</v>
      </c>
      <c r="U402" s="15">
        <f t="shared" si="136"/>
        <v>10000</v>
      </c>
      <c r="V402" s="15">
        <f t="shared" si="121"/>
        <v>30000</v>
      </c>
      <c r="W402" s="17"/>
      <c r="X402" s="17"/>
      <c r="Y402" s="18">
        <v>0.13</v>
      </c>
      <c r="Z402" s="21">
        <f t="shared" si="137"/>
        <v>400</v>
      </c>
      <c r="AA402" s="21">
        <v>1</v>
      </c>
      <c r="AB402" s="56">
        <f t="shared" si="126"/>
        <v>10000</v>
      </c>
      <c r="AC402" s="21"/>
      <c r="AE402" s="19"/>
      <c r="AF402" s="20">
        <f>SUMIF('[1]G-Chart'!G:G,[1]Capacity!D402,'[1]G-Chart'!L:L)</f>
        <v>3116</v>
      </c>
      <c r="AG402" s="2">
        <f t="shared" si="127"/>
        <v>0</v>
      </c>
      <c r="AH402" s="2">
        <f t="shared" si="128"/>
        <v>3116</v>
      </c>
      <c r="AI402" s="2">
        <f t="shared" si="138"/>
        <v>3116</v>
      </c>
      <c r="AJ402" s="1">
        <f t="shared" si="129"/>
        <v>0</v>
      </c>
      <c r="AK402" s="1">
        <f t="shared" si="130"/>
        <v>0</v>
      </c>
      <c r="AL402" s="1">
        <f t="shared" si="131"/>
        <v>3116</v>
      </c>
      <c r="AM402" s="1">
        <f t="shared" si="120"/>
        <v>9348</v>
      </c>
    </row>
    <row r="403" spans="1:39" x14ac:dyDescent="0.3">
      <c r="A403" s="12">
        <v>401</v>
      </c>
      <c r="B403" s="12" t="s">
        <v>910</v>
      </c>
      <c r="C403" s="13" t="s">
        <v>956</v>
      </c>
      <c r="D403" s="13" t="s">
        <v>956</v>
      </c>
      <c r="E403" s="14" t="s">
        <v>957</v>
      </c>
      <c r="F403" s="15">
        <f t="shared" si="125"/>
        <v>10000</v>
      </c>
      <c r="G403" s="16">
        <f t="shared" si="132"/>
        <v>3</v>
      </c>
      <c r="H403" s="15"/>
      <c r="I403" s="15">
        <f t="shared" si="122"/>
        <v>0</v>
      </c>
      <c r="J403" s="15"/>
      <c r="K403" s="15">
        <f t="shared" si="123"/>
        <v>0</v>
      </c>
      <c r="L403" s="15"/>
      <c r="M403" s="15">
        <f t="shared" si="133"/>
        <v>0</v>
      </c>
      <c r="N403" s="15">
        <v>1</v>
      </c>
      <c r="O403" s="15">
        <f t="shared" si="124"/>
        <v>10000</v>
      </c>
      <c r="P403" s="15">
        <v>1</v>
      </c>
      <c r="Q403" s="15">
        <f t="shared" si="134"/>
        <v>10000</v>
      </c>
      <c r="R403" s="15"/>
      <c r="S403" s="15">
        <f t="shared" si="135"/>
        <v>0</v>
      </c>
      <c r="T403" s="15">
        <v>1</v>
      </c>
      <c r="U403" s="15">
        <f t="shared" si="136"/>
        <v>10000</v>
      </c>
      <c r="V403" s="15">
        <f t="shared" si="121"/>
        <v>30000</v>
      </c>
      <c r="W403" s="17"/>
      <c r="X403" s="17"/>
      <c r="Y403" s="18">
        <v>9.4E-2</v>
      </c>
      <c r="Z403" s="21">
        <f t="shared" si="137"/>
        <v>400</v>
      </c>
      <c r="AA403" s="21">
        <v>1</v>
      </c>
      <c r="AB403" s="56">
        <f>AA403*$AD$383</f>
        <v>10000</v>
      </c>
      <c r="AC403" s="21"/>
      <c r="AE403" s="19"/>
      <c r="AF403" s="20">
        <f>SUMIF('[1]G-Chart'!G:G,[1]Capacity!D403,'[1]G-Chart'!L:L)</f>
        <v>3609</v>
      </c>
      <c r="AG403" s="2">
        <f t="shared" si="127"/>
        <v>0</v>
      </c>
      <c r="AH403" s="2">
        <f t="shared" si="128"/>
        <v>0</v>
      </c>
      <c r="AI403" s="2">
        <f t="shared" si="138"/>
        <v>3609</v>
      </c>
      <c r="AJ403" s="1">
        <f t="shared" si="129"/>
        <v>3609</v>
      </c>
      <c r="AK403" s="1">
        <f t="shared" si="130"/>
        <v>0</v>
      </c>
      <c r="AL403" s="1">
        <f t="shared" si="131"/>
        <v>3609</v>
      </c>
      <c r="AM403" s="1">
        <f t="shared" si="120"/>
        <v>10827</v>
      </c>
    </row>
    <row r="404" spans="1:39" x14ac:dyDescent="0.3">
      <c r="A404" s="12">
        <v>402</v>
      </c>
      <c r="B404" s="12" t="s">
        <v>910</v>
      </c>
      <c r="C404" s="13" t="s">
        <v>958</v>
      </c>
      <c r="D404" s="13" t="s">
        <v>958</v>
      </c>
      <c r="E404" s="14" t="s">
        <v>959</v>
      </c>
      <c r="F404" s="15">
        <f t="shared" si="125"/>
        <v>20000</v>
      </c>
      <c r="G404" s="16">
        <f t="shared" si="132"/>
        <v>1</v>
      </c>
      <c r="H404" s="15"/>
      <c r="I404" s="15">
        <f t="shared" si="122"/>
        <v>0</v>
      </c>
      <c r="J404" s="15"/>
      <c r="K404" s="15">
        <f t="shared" si="123"/>
        <v>0</v>
      </c>
      <c r="L404" s="15"/>
      <c r="M404" s="15">
        <f t="shared" si="133"/>
        <v>0</v>
      </c>
      <c r="N404" s="15"/>
      <c r="O404" s="15">
        <f t="shared" si="124"/>
        <v>0</v>
      </c>
      <c r="P404" s="15">
        <v>1</v>
      </c>
      <c r="Q404" s="15">
        <f t="shared" si="134"/>
        <v>20000</v>
      </c>
      <c r="R404" s="15"/>
      <c r="S404" s="15">
        <f t="shared" si="135"/>
        <v>0</v>
      </c>
      <c r="T404" s="15"/>
      <c r="U404" s="15">
        <f t="shared" si="136"/>
        <v>0</v>
      </c>
      <c r="V404" s="15">
        <f t="shared" si="121"/>
        <v>20000</v>
      </c>
      <c r="W404" s="17"/>
      <c r="X404" s="17"/>
      <c r="Y404" s="18">
        <v>0.35</v>
      </c>
      <c r="Z404" s="21">
        <f t="shared" si="137"/>
        <v>800</v>
      </c>
      <c r="AA404" s="21">
        <v>2</v>
      </c>
      <c r="AB404" s="56">
        <f t="shared" si="126"/>
        <v>20000</v>
      </c>
      <c r="AC404" s="21"/>
      <c r="AE404" s="19"/>
      <c r="AF404" s="20">
        <f>SUMIF('[1]G-Chart'!G:G,[1]Capacity!D404,'[1]G-Chart'!L:L)</f>
        <v>0</v>
      </c>
      <c r="AG404" s="2">
        <f t="shared" si="127"/>
        <v>0</v>
      </c>
      <c r="AH404" s="2">
        <f t="shared" si="128"/>
        <v>0</v>
      </c>
      <c r="AI404" s="2">
        <f t="shared" si="138"/>
        <v>0</v>
      </c>
      <c r="AJ404" s="1">
        <f t="shared" si="129"/>
        <v>0</v>
      </c>
      <c r="AK404" s="1">
        <f t="shared" si="130"/>
        <v>0</v>
      </c>
      <c r="AL404" s="1">
        <f t="shared" si="131"/>
        <v>0</v>
      </c>
      <c r="AM404" s="1">
        <f t="shared" si="120"/>
        <v>0</v>
      </c>
    </row>
    <row r="405" spans="1:39" x14ac:dyDescent="0.3">
      <c r="A405" s="12">
        <v>403</v>
      </c>
      <c r="B405" s="12" t="s">
        <v>910</v>
      </c>
      <c r="C405" s="13" t="s">
        <v>960</v>
      </c>
      <c r="D405" s="13" t="s">
        <v>960</v>
      </c>
      <c r="E405" s="14" t="s">
        <v>961</v>
      </c>
      <c r="F405" s="15">
        <f t="shared" si="125"/>
        <v>20000</v>
      </c>
      <c r="G405" s="16">
        <f t="shared" si="132"/>
        <v>1</v>
      </c>
      <c r="H405" s="15">
        <v>1</v>
      </c>
      <c r="I405" s="15">
        <f t="shared" si="122"/>
        <v>20000</v>
      </c>
      <c r="J405" s="15"/>
      <c r="K405" s="15">
        <f t="shared" si="123"/>
        <v>0</v>
      </c>
      <c r="L405" s="15"/>
      <c r="M405" s="15">
        <f t="shared" si="133"/>
        <v>0</v>
      </c>
      <c r="N405" s="15"/>
      <c r="O405" s="15">
        <f t="shared" si="124"/>
        <v>0</v>
      </c>
      <c r="P405" s="15"/>
      <c r="Q405" s="15">
        <f t="shared" si="134"/>
        <v>0</v>
      </c>
      <c r="R405" s="15"/>
      <c r="S405" s="15">
        <f t="shared" si="135"/>
        <v>0</v>
      </c>
      <c r="T405" s="15"/>
      <c r="U405" s="15">
        <f t="shared" si="136"/>
        <v>0</v>
      </c>
      <c r="V405" s="15">
        <f t="shared" si="121"/>
        <v>20000</v>
      </c>
      <c r="W405" s="17"/>
      <c r="X405" s="17"/>
      <c r="Y405" s="18">
        <v>0.3</v>
      </c>
      <c r="Z405" s="21">
        <f t="shared" si="137"/>
        <v>800</v>
      </c>
      <c r="AA405" s="21">
        <v>2</v>
      </c>
      <c r="AB405" s="56">
        <f t="shared" si="126"/>
        <v>20000</v>
      </c>
      <c r="AC405" s="21"/>
      <c r="AE405" s="19"/>
      <c r="AF405" s="20">
        <f>SUMIF('[1]G-Chart'!G:G,[1]Capacity!D405,'[1]G-Chart'!L:L)</f>
        <v>0</v>
      </c>
      <c r="AG405" s="2">
        <f t="shared" si="127"/>
        <v>0</v>
      </c>
      <c r="AH405" s="2">
        <f t="shared" si="128"/>
        <v>0</v>
      </c>
      <c r="AI405" s="2">
        <f t="shared" si="138"/>
        <v>0</v>
      </c>
      <c r="AJ405" s="1">
        <f t="shared" si="129"/>
        <v>0</v>
      </c>
      <c r="AK405" s="1">
        <f t="shared" si="130"/>
        <v>0</v>
      </c>
      <c r="AL405" s="1">
        <f t="shared" si="131"/>
        <v>0</v>
      </c>
      <c r="AM405" s="1">
        <f t="shared" si="120"/>
        <v>0</v>
      </c>
    </row>
    <row r="406" spans="1:39" x14ac:dyDescent="0.3">
      <c r="A406" s="12">
        <v>404</v>
      </c>
      <c r="B406" s="12" t="s">
        <v>910</v>
      </c>
      <c r="C406" s="13" t="s">
        <v>962</v>
      </c>
      <c r="D406" s="13" t="s">
        <v>962</v>
      </c>
      <c r="E406" s="14" t="s">
        <v>963</v>
      </c>
      <c r="F406" s="15">
        <f t="shared" si="125"/>
        <v>10000</v>
      </c>
      <c r="G406" s="16">
        <f t="shared" si="132"/>
        <v>3</v>
      </c>
      <c r="H406" s="15"/>
      <c r="I406" s="15">
        <f t="shared" si="122"/>
        <v>0</v>
      </c>
      <c r="J406" s="15"/>
      <c r="K406" s="15">
        <f t="shared" si="123"/>
        <v>0</v>
      </c>
      <c r="L406" s="15">
        <v>1</v>
      </c>
      <c r="M406" s="15">
        <f>L406*F406</f>
        <v>10000</v>
      </c>
      <c r="N406" s="15">
        <v>1</v>
      </c>
      <c r="O406" s="15">
        <f>N406*F406</f>
        <v>10000</v>
      </c>
      <c r="P406" s="15">
        <v>1</v>
      </c>
      <c r="Q406" s="15">
        <f t="shared" si="134"/>
        <v>10000</v>
      </c>
      <c r="R406" s="15"/>
      <c r="S406" s="15">
        <f t="shared" si="135"/>
        <v>0</v>
      </c>
      <c r="T406" s="15"/>
      <c r="U406" s="15">
        <f t="shared" si="136"/>
        <v>0</v>
      </c>
      <c r="V406" s="15">
        <f t="shared" si="121"/>
        <v>30000</v>
      </c>
      <c r="W406" s="17"/>
      <c r="X406" s="17"/>
      <c r="Y406" s="18">
        <v>0.67</v>
      </c>
      <c r="Z406" s="21">
        <f t="shared" si="137"/>
        <v>400</v>
      </c>
      <c r="AA406" s="21">
        <v>1</v>
      </c>
      <c r="AB406" s="56">
        <f t="shared" si="126"/>
        <v>10000</v>
      </c>
      <c r="AC406" s="21"/>
      <c r="AE406" s="19"/>
      <c r="AF406" s="20">
        <f>SUMIF('[1]G-Chart'!G:G,[1]Capacity!D406,'[1]G-Chart'!L:L)</f>
        <v>286</v>
      </c>
      <c r="AG406" s="2">
        <f t="shared" si="127"/>
        <v>0</v>
      </c>
      <c r="AH406" s="2">
        <f t="shared" si="128"/>
        <v>286</v>
      </c>
      <c r="AI406" s="2">
        <f t="shared" si="138"/>
        <v>286</v>
      </c>
      <c r="AJ406" s="1">
        <f t="shared" si="129"/>
        <v>286</v>
      </c>
      <c r="AK406" s="1">
        <f t="shared" si="130"/>
        <v>0</v>
      </c>
      <c r="AL406" s="1">
        <f t="shared" si="131"/>
        <v>0</v>
      </c>
      <c r="AM406" s="1">
        <f t="shared" si="120"/>
        <v>858</v>
      </c>
    </row>
    <row r="407" spans="1:39" x14ac:dyDescent="0.3">
      <c r="A407" s="12">
        <v>405</v>
      </c>
      <c r="B407" s="12" t="s">
        <v>910</v>
      </c>
      <c r="C407" s="13" t="s">
        <v>964</v>
      </c>
      <c r="D407" s="13" t="s">
        <v>964</v>
      </c>
      <c r="E407" s="14" t="s">
        <v>965</v>
      </c>
      <c r="F407" s="15">
        <f t="shared" si="125"/>
        <v>10000</v>
      </c>
      <c r="G407" s="16">
        <f t="shared" si="132"/>
        <v>3</v>
      </c>
      <c r="H407" s="15"/>
      <c r="I407" s="15">
        <f t="shared" si="122"/>
        <v>0</v>
      </c>
      <c r="J407" s="15"/>
      <c r="K407" s="15">
        <f t="shared" si="123"/>
        <v>0</v>
      </c>
      <c r="L407" s="15">
        <v>1</v>
      </c>
      <c r="M407" s="15">
        <f t="shared" si="133"/>
        <v>10000</v>
      </c>
      <c r="N407" s="15">
        <v>1</v>
      </c>
      <c r="O407" s="15">
        <f t="shared" si="124"/>
        <v>10000</v>
      </c>
      <c r="P407" s="15">
        <v>1</v>
      </c>
      <c r="Q407" s="15">
        <f t="shared" si="134"/>
        <v>10000</v>
      </c>
      <c r="R407" s="15"/>
      <c r="S407" s="15">
        <f t="shared" si="135"/>
        <v>0</v>
      </c>
      <c r="T407" s="15"/>
      <c r="U407" s="15">
        <f t="shared" si="136"/>
        <v>0</v>
      </c>
      <c r="V407" s="15">
        <f t="shared" si="121"/>
        <v>30000</v>
      </c>
      <c r="W407" s="17"/>
      <c r="X407" s="17"/>
      <c r="Y407" s="18">
        <v>0.55000000000000004</v>
      </c>
      <c r="Z407" s="21">
        <f t="shared" si="137"/>
        <v>400</v>
      </c>
      <c r="AA407" s="21">
        <v>1</v>
      </c>
      <c r="AB407" s="56">
        <f t="shared" si="126"/>
        <v>10000</v>
      </c>
      <c r="AC407" s="21"/>
      <c r="AE407" s="19"/>
      <c r="AF407" s="20">
        <f>SUMIF('[1]G-Chart'!G:G,[1]Capacity!D407,'[1]G-Chart'!L:L)</f>
        <v>1756</v>
      </c>
      <c r="AG407" s="2">
        <f t="shared" si="127"/>
        <v>0</v>
      </c>
      <c r="AH407" s="2">
        <f t="shared" si="128"/>
        <v>1756</v>
      </c>
      <c r="AI407" s="2">
        <f t="shared" si="138"/>
        <v>1756</v>
      </c>
      <c r="AJ407" s="1">
        <f t="shared" si="129"/>
        <v>1756</v>
      </c>
      <c r="AK407" s="1">
        <f t="shared" si="130"/>
        <v>0</v>
      </c>
      <c r="AL407" s="1">
        <f t="shared" si="131"/>
        <v>0</v>
      </c>
      <c r="AM407" s="1">
        <f t="shared" ref="AM407:AM459" si="139">AF407*G407</f>
        <v>5268</v>
      </c>
    </row>
    <row r="408" spans="1:39" x14ac:dyDescent="0.3">
      <c r="A408" s="12">
        <v>406</v>
      </c>
      <c r="B408" s="12" t="s">
        <v>910</v>
      </c>
      <c r="C408" s="13" t="s">
        <v>966</v>
      </c>
      <c r="D408" s="13" t="s">
        <v>966</v>
      </c>
      <c r="E408" s="14" t="s">
        <v>967</v>
      </c>
      <c r="F408" s="15">
        <f t="shared" si="125"/>
        <v>10000</v>
      </c>
      <c r="G408" s="16">
        <f t="shared" si="132"/>
        <v>4</v>
      </c>
      <c r="H408" s="15"/>
      <c r="I408" s="15">
        <f t="shared" si="122"/>
        <v>0</v>
      </c>
      <c r="J408" s="15"/>
      <c r="K408" s="15">
        <f t="shared" si="123"/>
        <v>0</v>
      </c>
      <c r="L408" s="15">
        <v>1</v>
      </c>
      <c r="M408" s="15">
        <f t="shared" si="133"/>
        <v>10000</v>
      </c>
      <c r="N408" s="15">
        <v>1</v>
      </c>
      <c r="O408" s="15">
        <f t="shared" si="124"/>
        <v>10000</v>
      </c>
      <c r="P408" s="15">
        <v>2</v>
      </c>
      <c r="Q408" s="15">
        <f t="shared" si="134"/>
        <v>20000</v>
      </c>
      <c r="R408" s="15"/>
      <c r="S408" s="15">
        <f t="shared" si="135"/>
        <v>0</v>
      </c>
      <c r="T408" s="15"/>
      <c r="U408" s="15">
        <f t="shared" si="136"/>
        <v>0</v>
      </c>
      <c r="V408" s="15">
        <f t="shared" si="121"/>
        <v>40000</v>
      </c>
      <c r="W408" s="17"/>
      <c r="X408" s="17"/>
      <c r="Y408" s="18">
        <v>0.43</v>
      </c>
      <c r="Z408" s="21">
        <f t="shared" si="137"/>
        <v>400</v>
      </c>
      <c r="AA408" s="21">
        <v>1</v>
      </c>
      <c r="AB408" s="56">
        <f t="shared" si="126"/>
        <v>10000</v>
      </c>
      <c r="AC408" s="21"/>
      <c r="AE408" s="19"/>
      <c r="AF408" s="20">
        <f>SUMIF('[1]G-Chart'!G:G,[1]Capacity!D408,'[1]G-Chart'!L:L)</f>
        <v>406</v>
      </c>
      <c r="AG408" s="2">
        <f t="shared" si="127"/>
        <v>0</v>
      </c>
      <c r="AH408" s="2">
        <f t="shared" si="128"/>
        <v>406</v>
      </c>
      <c r="AI408" s="2">
        <f t="shared" si="138"/>
        <v>406</v>
      </c>
      <c r="AJ408" s="1">
        <f t="shared" si="129"/>
        <v>812</v>
      </c>
      <c r="AK408" s="1">
        <f t="shared" si="130"/>
        <v>0</v>
      </c>
      <c r="AL408" s="1">
        <f t="shared" si="131"/>
        <v>0</v>
      </c>
      <c r="AM408" s="1">
        <f t="shared" si="139"/>
        <v>1624</v>
      </c>
    </row>
    <row r="409" spans="1:39" x14ac:dyDescent="0.3">
      <c r="A409" s="12">
        <v>407</v>
      </c>
      <c r="B409" s="12" t="s">
        <v>910</v>
      </c>
      <c r="C409" s="13" t="s">
        <v>968</v>
      </c>
      <c r="D409" s="13" t="s">
        <v>968</v>
      </c>
      <c r="E409" s="14" t="s">
        <v>969</v>
      </c>
      <c r="F409" s="15">
        <f t="shared" si="125"/>
        <v>10000</v>
      </c>
      <c r="G409" s="16">
        <f t="shared" si="132"/>
        <v>2</v>
      </c>
      <c r="H409" s="15"/>
      <c r="I409" s="15">
        <f t="shared" si="122"/>
        <v>0</v>
      </c>
      <c r="J409" s="15"/>
      <c r="K409" s="15">
        <f t="shared" si="123"/>
        <v>0</v>
      </c>
      <c r="L409" s="15"/>
      <c r="M409" s="15">
        <f t="shared" si="133"/>
        <v>0</v>
      </c>
      <c r="N409" s="15"/>
      <c r="O409" s="15">
        <f t="shared" si="124"/>
        <v>0</v>
      </c>
      <c r="P409" s="15">
        <v>2</v>
      </c>
      <c r="Q409" s="15">
        <f t="shared" si="134"/>
        <v>20000</v>
      </c>
      <c r="R409" s="15"/>
      <c r="S409" s="15">
        <f t="shared" si="135"/>
        <v>0</v>
      </c>
      <c r="T409" s="15"/>
      <c r="U409" s="15">
        <f t="shared" si="136"/>
        <v>0</v>
      </c>
      <c r="V409" s="15">
        <f t="shared" si="121"/>
        <v>20000</v>
      </c>
      <c r="W409" s="17"/>
      <c r="X409" s="17"/>
      <c r="Y409" s="18">
        <v>0.14000000000000001</v>
      </c>
      <c r="Z409" s="21">
        <f t="shared" si="137"/>
        <v>400</v>
      </c>
      <c r="AA409" s="21">
        <v>1</v>
      </c>
      <c r="AB409" s="56">
        <f t="shared" si="126"/>
        <v>10000</v>
      </c>
      <c r="AC409" s="21"/>
      <c r="AE409" s="19"/>
      <c r="AF409" s="20">
        <f>SUMIF('[1]G-Chart'!G:G,[1]Capacity!D409,'[1]G-Chart'!L:L)</f>
        <v>561</v>
      </c>
      <c r="AG409" s="2">
        <f t="shared" si="127"/>
        <v>0</v>
      </c>
      <c r="AH409" s="2">
        <f t="shared" si="128"/>
        <v>0</v>
      </c>
      <c r="AI409" s="2">
        <f t="shared" si="138"/>
        <v>0</v>
      </c>
      <c r="AJ409" s="1">
        <f t="shared" si="129"/>
        <v>1122</v>
      </c>
      <c r="AK409" s="1">
        <f t="shared" si="130"/>
        <v>0</v>
      </c>
      <c r="AL409" s="1">
        <f t="shared" si="131"/>
        <v>0</v>
      </c>
      <c r="AM409" s="1">
        <f t="shared" si="139"/>
        <v>1122</v>
      </c>
    </row>
    <row r="410" spans="1:39" x14ac:dyDescent="0.3">
      <c r="A410" s="12">
        <v>408</v>
      </c>
      <c r="B410" s="12" t="s">
        <v>910</v>
      </c>
      <c r="C410" s="13" t="s">
        <v>970</v>
      </c>
      <c r="D410" s="13" t="s">
        <v>970</v>
      </c>
      <c r="E410" s="14" t="s">
        <v>971</v>
      </c>
      <c r="F410" s="15">
        <f t="shared" si="125"/>
        <v>10000</v>
      </c>
      <c r="G410" s="16">
        <f>H410+J410+L410+N410+P410+R410+T410</f>
        <v>2</v>
      </c>
      <c r="H410" s="15"/>
      <c r="I410" s="15">
        <f t="shared" si="122"/>
        <v>0</v>
      </c>
      <c r="J410" s="15">
        <v>0.5</v>
      </c>
      <c r="K410" s="15">
        <f t="shared" si="123"/>
        <v>5000</v>
      </c>
      <c r="L410" s="15">
        <v>0.5</v>
      </c>
      <c r="M410" s="15">
        <f t="shared" si="133"/>
        <v>5000</v>
      </c>
      <c r="N410" s="15"/>
      <c r="O410" s="15">
        <f t="shared" si="124"/>
        <v>0</v>
      </c>
      <c r="P410" s="15">
        <v>1</v>
      </c>
      <c r="Q410" s="15">
        <f t="shared" si="134"/>
        <v>10000</v>
      </c>
      <c r="R410" s="15"/>
      <c r="S410" s="15">
        <f t="shared" si="135"/>
        <v>0</v>
      </c>
      <c r="T410" s="15"/>
      <c r="U410" s="15">
        <f t="shared" si="136"/>
        <v>0</v>
      </c>
      <c r="V410" s="15">
        <f t="shared" si="121"/>
        <v>20000</v>
      </c>
      <c r="W410" s="17"/>
      <c r="X410" s="17"/>
      <c r="Y410" s="18">
        <v>0.27</v>
      </c>
      <c r="Z410" s="21">
        <f t="shared" si="137"/>
        <v>400</v>
      </c>
      <c r="AA410" s="21">
        <v>1</v>
      </c>
      <c r="AB410" s="56">
        <f t="shared" si="126"/>
        <v>10000</v>
      </c>
      <c r="AC410" s="21"/>
      <c r="AE410" s="19"/>
      <c r="AF410" s="20">
        <f>SUMIF('[1]G-Chart'!G:G,[1]Capacity!D410,'[1]G-Chart'!L:L)</f>
        <v>0</v>
      </c>
      <c r="AG410" s="2">
        <f t="shared" si="127"/>
        <v>0</v>
      </c>
      <c r="AH410" s="2">
        <f t="shared" si="128"/>
        <v>0</v>
      </c>
      <c r="AI410" s="2">
        <f t="shared" si="138"/>
        <v>0</v>
      </c>
      <c r="AJ410" s="1">
        <f t="shared" si="129"/>
        <v>0</v>
      </c>
      <c r="AK410" s="1">
        <f t="shared" si="130"/>
        <v>0</v>
      </c>
      <c r="AL410" s="1">
        <f t="shared" si="131"/>
        <v>0</v>
      </c>
      <c r="AM410" s="1">
        <f t="shared" si="139"/>
        <v>0</v>
      </c>
    </row>
    <row r="411" spans="1:39" x14ac:dyDescent="0.3">
      <c r="A411" s="12">
        <v>409</v>
      </c>
      <c r="B411" s="12" t="s">
        <v>910</v>
      </c>
      <c r="C411" s="13" t="s">
        <v>972</v>
      </c>
      <c r="D411" s="13" t="s">
        <v>972</v>
      </c>
      <c r="E411" s="14" t="s">
        <v>973</v>
      </c>
      <c r="F411" s="15">
        <f t="shared" si="125"/>
        <v>10000</v>
      </c>
      <c r="G411" s="16">
        <f t="shared" si="132"/>
        <v>2</v>
      </c>
      <c r="H411" s="15"/>
      <c r="I411" s="15">
        <f t="shared" si="122"/>
        <v>0</v>
      </c>
      <c r="J411" s="15">
        <v>0.5</v>
      </c>
      <c r="K411" s="15">
        <f t="shared" si="123"/>
        <v>5000</v>
      </c>
      <c r="L411" s="15">
        <v>0.5</v>
      </c>
      <c r="M411" s="15">
        <f t="shared" si="133"/>
        <v>5000</v>
      </c>
      <c r="N411" s="15"/>
      <c r="O411" s="15">
        <f t="shared" si="124"/>
        <v>0</v>
      </c>
      <c r="P411" s="15">
        <v>1</v>
      </c>
      <c r="Q411" s="15">
        <f t="shared" si="134"/>
        <v>10000</v>
      </c>
      <c r="R411" s="15"/>
      <c r="S411" s="15">
        <f t="shared" si="135"/>
        <v>0</v>
      </c>
      <c r="T411" s="15"/>
      <c r="U411" s="15">
        <f t="shared" si="136"/>
        <v>0</v>
      </c>
      <c r="V411" s="15">
        <f t="shared" si="121"/>
        <v>20000</v>
      </c>
      <c r="W411" s="17"/>
      <c r="X411" s="17"/>
      <c r="Y411" s="18">
        <v>0.27</v>
      </c>
      <c r="Z411" s="21">
        <f t="shared" si="137"/>
        <v>400</v>
      </c>
      <c r="AA411" s="21">
        <v>1</v>
      </c>
      <c r="AB411" s="56">
        <f t="shared" si="126"/>
        <v>10000</v>
      </c>
      <c r="AC411" s="21"/>
      <c r="AE411" s="19"/>
      <c r="AF411" s="20">
        <f>SUMIF('[1]G-Chart'!G:G,[1]Capacity!D411,'[1]G-Chart'!L:L)</f>
        <v>0</v>
      </c>
      <c r="AG411" s="2">
        <f t="shared" si="127"/>
        <v>0</v>
      </c>
      <c r="AH411" s="2">
        <f t="shared" si="128"/>
        <v>0</v>
      </c>
      <c r="AI411" s="2">
        <f t="shared" si="138"/>
        <v>0</v>
      </c>
      <c r="AJ411" s="1">
        <f t="shared" si="129"/>
        <v>0</v>
      </c>
      <c r="AK411" s="1">
        <f t="shared" si="130"/>
        <v>0</v>
      </c>
      <c r="AL411" s="1">
        <f t="shared" si="131"/>
        <v>0</v>
      </c>
      <c r="AM411" s="1">
        <f t="shared" si="139"/>
        <v>0</v>
      </c>
    </row>
    <row r="412" spans="1:39" x14ac:dyDescent="0.3">
      <c r="A412" s="12">
        <v>410</v>
      </c>
      <c r="B412" s="12" t="s">
        <v>910</v>
      </c>
      <c r="C412" s="13" t="s">
        <v>974</v>
      </c>
      <c r="D412" s="13" t="s">
        <v>974</v>
      </c>
      <c r="E412" s="14" t="s">
        <v>975</v>
      </c>
      <c r="F412" s="15">
        <f t="shared" si="125"/>
        <v>10000</v>
      </c>
      <c r="G412" s="16">
        <f t="shared" si="132"/>
        <v>2</v>
      </c>
      <c r="H412" s="15"/>
      <c r="I412" s="15">
        <f t="shared" si="122"/>
        <v>0</v>
      </c>
      <c r="J412" s="15">
        <v>0.5</v>
      </c>
      <c r="K412" s="15">
        <f t="shared" si="123"/>
        <v>5000</v>
      </c>
      <c r="L412" s="15">
        <v>0.5</v>
      </c>
      <c r="M412" s="15">
        <f t="shared" si="133"/>
        <v>5000</v>
      </c>
      <c r="N412" s="15"/>
      <c r="O412" s="15">
        <f t="shared" si="124"/>
        <v>0</v>
      </c>
      <c r="P412" s="15">
        <v>1</v>
      </c>
      <c r="Q412" s="15">
        <f t="shared" si="134"/>
        <v>10000</v>
      </c>
      <c r="R412" s="15"/>
      <c r="S412" s="15">
        <f t="shared" si="135"/>
        <v>0</v>
      </c>
      <c r="T412" s="15"/>
      <c r="U412" s="15">
        <f t="shared" si="136"/>
        <v>0</v>
      </c>
      <c r="V412" s="15">
        <f t="shared" si="121"/>
        <v>20000</v>
      </c>
      <c r="W412" s="17"/>
      <c r="X412" s="17"/>
      <c r="Y412" s="18">
        <v>0.3</v>
      </c>
      <c r="Z412" s="21">
        <f t="shared" si="137"/>
        <v>400</v>
      </c>
      <c r="AA412" s="21">
        <v>1</v>
      </c>
      <c r="AB412" s="56">
        <f t="shared" si="126"/>
        <v>10000</v>
      </c>
      <c r="AC412" s="21"/>
      <c r="AE412" s="19"/>
      <c r="AF412" s="20">
        <f>SUMIF('[1]G-Chart'!G:G,[1]Capacity!D412,'[1]G-Chart'!L:L)</f>
        <v>0</v>
      </c>
      <c r="AG412" s="2">
        <f t="shared" si="127"/>
        <v>0</v>
      </c>
      <c r="AH412" s="2">
        <f t="shared" si="128"/>
        <v>0</v>
      </c>
      <c r="AI412" s="2">
        <f t="shared" si="138"/>
        <v>0</v>
      </c>
      <c r="AJ412" s="1">
        <f t="shared" si="129"/>
        <v>0</v>
      </c>
      <c r="AK412" s="1">
        <f t="shared" si="130"/>
        <v>0</v>
      </c>
      <c r="AL412" s="1">
        <f t="shared" si="131"/>
        <v>0</v>
      </c>
      <c r="AM412" s="1">
        <f t="shared" si="139"/>
        <v>0</v>
      </c>
    </row>
    <row r="413" spans="1:39" x14ac:dyDescent="0.3">
      <c r="A413" s="12">
        <v>411</v>
      </c>
      <c r="B413" s="12" t="s">
        <v>910</v>
      </c>
      <c r="C413" s="13" t="s">
        <v>976</v>
      </c>
      <c r="D413" s="13" t="s">
        <v>976</v>
      </c>
      <c r="E413" s="14" t="s">
        <v>977</v>
      </c>
      <c r="F413" s="15">
        <f t="shared" si="125"/>
        <v>10000</v>
      </c>
      <c r="G413" s="16">
        <f t="shared" si="132"/>
        <v>2</v>
      </c>
      <c r="H413" s="15"/>
      <c r="I413" s="15">
        <f t="shared" si="122"/>
        <v>0</v>
      </c>
      <c r="J413" s="15">
        <v>0.5</v>
      </c>
      <c r="K413" s="15">
        <f t="shared" si="123"/>
        <v>5000</v>
      </c>
      <c r="L413" s="15">
        <v>0.5</v>
      </c>
      <c r="M413" s="15">
        <f t="shared" si="133"/>
        <v>5000</v>
      </c>
      <c r="N413" s="15"/>
      <c r="O413" s="15">
        <f t="shared" si="124"/>
        <v>0</v>
      </c>
      <c r="P413" s="15">
        <v>1</v>
      </c>
      <c r="Q413" s="15">
        <f t="shared" si="134"/>
        <v>10000</v>
      </c>
      <c r="R413" s="15"/>
      <c r="S413" s="15">
        <f t="shared" si="135"/>
        <v>0</v>
      </c>
      <c r="T413" s="15"/>
      <c r="U413" s="15">
        <f t="shared" si="136"/>
        <v>0</v>
      </c>
      <c r="V413" s="15">
        <f t="shared" si="121"/>
        <v>20000</v>
      </c>
      <c r="W413" s="17"/>
      <c r="X413" s="17"/>
      <c r="Y413" s="18">
        <v>0.3</v>
      </c>
      <c r="Z413" s="21">
        <f t="shared" si="137"/>
        <v>400</v>
      </c>
      <c r="AA413" s="21">
        <v>1</v>
      </c>
      <c r="AB413" s="56">
        <f t="shared" si="126"/>
        <v>10000</v>
      </c>
      <c r="AC413" s="21"/>
      <c r="AE413" s="19"/>
      <c r="AF413" s="20">
        <f>SUMIF('[1]G-Chart'!G:G,[1]Capacity!D413,'[1]G-Chart'!L:L)</f>
        <v>0</v>
      </c>
      <c r="AG413" s="2">
        <f t="shared" si="127"/>
        <v>0</v>
      </c>
      <c r="AH413" s="2">
        <f t="shared" si="128"/>
        <v>0</v>
      </c>
      <c r="AI413" s="2">
        <f t="shared" si="138"/>
        <v>0</v>
      </c>
      <c r="AJ413" s="1">
        <f t="shared" si="129"/>
        <v>0</v>
      </c>
      <c r="AK413" s="1">
        <f t="shared" si="130"/>
        <v>0</v>
      </c>
      <c r="AL413" s="1">
        <f t="shared" si="131"/>
        <v>0</v>
      </c>
      <c r="AM413" s="1">
        <f t="shared" si="139"/>
        <v>0</v>
      </c>
    </row>
    <row r="414" spans="1:39" x14ac:dyDescent="0.3">
      <c r="A414" s="12">
        <v>412</v>
      </c>
      <c r="B414" s="12" t="s">
        <v>910</v>
      </c>
      <c r="C414" s="13" t="s">
        <v>978</v>
      </c>
      <c r="D414" s="13" t="s">
        <v>978</v>
      </c>
      <c r="E414" s="14" t="s">
        <v>979</v>
      </c>
      <c r="F414" s="15">
        <f t="shared" si="125"/>
        <v>20000</v>
      </c>
      <c r="G414" s="16">
        <f t="shared" si="132"/>
        <v>3</v>
      </c>
      <c r="H414" s="15"/>
      <c r="I414" s="15">
        <f t="shared" si="122"/>
        <v>0</v>
      </c>
      <c r="J414" s="15">
        <v>1</v>
      </c>
      <c r="K414" s="15">
        <f t="shared" si="123"/>
        <v>20000</v>
      </c>
      <c r="L414" s="15"/>
      <c r="M414" s="15">
        <f t="shared" si="133"/>
        <v>0</v>
      </c>
      <c r="N414" s="15"/>
      <c r="O414" s="15">
        <f t="shared" si="124"/>
        <v>0</v>
      </c>
      <c r="P414" s="15">
        <v>2</v>
      </c>
      <c r="Q414" s="15">
        <f t="shared" si="134"/>
        <v>40000</v>
      </c>
      <c r="R414" s="15"/>
      <c r="S414" s="15">
        <f t="shared" si="135"/>
        <v>0</v>
      </c>
      <c r="T414" s="15"/>
      <c r="U414" s="15">
        <f t="shared" si="136"/>
        <v>0</v>
      </c>
      <c r="V414" s="15">
        <f t="shared" si="121"/>
        <v>60000</v>
      </c>
      <c r="W414" s="17"/>
      <c r="X414" s="17"/>
      <c r="Y414" s="18">
        <v>0.32</v>
      </c>
      <c r="Z414" s="21">
        <f t="shared" si="137"/>
        <v>800</v>
      </c>
      <c r="AA414" s="21">
        <v>2</v>
      </c>
      <c r="AB414" s="56">
        <f t="shared" si="126"/>
        <v>20000</v>
      </c>
      <c r="AC414" s="21"/>
      <c r="AE414" s="19"/>
      <c r="AF414" s="20">
        <f>SUMIF('[1]G-Chart'!G:G,[1]Capacity!D414,'[1]G-Chart'!L:L)</f>
        <v>1907</v>
      </c>
      <c r="AG414" s="2">
        <f t="shared" si="127"/>
        <v>1907</v>
      </c>
      <c r="AH414" s="2">
        <f t="shared" si="128"/>
        <v>0</v>
      </c>
      <c r="AI414" s="2">
        <f t="shared" si="138"/>
        <v>0</v>
      </c>
      <c r="AJ414" s="1">
        <f t="shared" si="129"/>
        <v>3814</v>
      </c>
      <c r="AK414" s="1">
        <f t="shared" si="130"/>
        <v>0</v>
      </c>
      <c r="AL414" s="1">
        <f t="shared" si="131"/>
        <v>0</v>
      </c>
      <c r="AM414" s="1">
        <f t="shared" si="139"/>
        <v>5721</v>
      </c>
    </row>
    <row r="415" spans="1:39" x14ac:dyDescent="0.3">
      <c r="A415" s="12">
        <v>413</v>
      </c>
      <c r="B415" s="58" t="s">
        <v>910</v>
      </c>
      <c r="C415" s="48" t="s">
        <v>980</v>
      </c>
      <c r="D415" s="48" t="s">
        <v>980</v>
      </c>
      <c r="E415" s="48" t="s">
        <v>981</v>
      </c>
      <c r="F415" s="15">
        <f t="shared" si="125"/>
        <v>0</v>
      </c>
      <c r="G415" s="16">
        <f t="shared" si="132"/>
        <v>4</v>
      </c>
      <c r="H415" s="15"/>
      <c r="I415" s="15">
        <f t="shared" si="122"/>
        <v>0</v>
      </c>
      <c r="J415" s="15"/>
      <c r="K415" s="15">
        <f t="shared" si="123"/>
        <v>0</v>
      </c>
      <c r="L415" s="15"/>
      <c r="M415" s="15">
        <f t="shared" si="133"/>
        <v>0</v>
      </c>
      <c r="N415" s="15">
        <v>1</v>
      </c>
      <c r="O415" s="15">
        <f t="shared" si="124"/>
        <v>0</v>
      </c>
      <c r="P415" s="15">
        <v>2</v>
      </c>
      <c r="Q415" s="15">
        <f t="shared" si="134"/>
        <v>0</v>
      </c>
      <c r="R415" s="15">
        <v>1</v>
      </c>
      <c r="S415" s="15">
        <f t="shared" si="135"/>
        <v>0</v>
      </c>
      <c r="T415" s="15"/>
      <c r="U415" s="15">
        <f t="shared" si="136"/>
        <v>0</v>
      </c>
      <c r="V415" s="15">
        <f t="shared" si="121"/>
        <v>0</v>
      </c>
      <c r="W415" s="17"/>
      <c r="X415" s="17"/>
      <c r="Y415" s="18">
        <v>0.23400000000000001</v>
      </c>
      <c r="Z415" s="21">
        <f t="shared" si="137"/>
        <v>0</v>
      </c>
      <c r="AA415" s="21">
        <v>2</v>
      </c>
      <c r="AB415" s="56">
        <f>AD415*AA415</f>
        <v>0</v>
      </c>
      <c r="AC415" s="30"/>
      <c r="AD415" s="57">
        <v>0</v>
      </c>
      <c r="AE415" s="32" t="s">
        <v>982</v>
      </c>
      <c r="AF415" s="20">
        <f>SUMIF('[1]G-Chart'!G:G,[1]Capacity!D415,'[1]G-Chart'!L:L)</f>
        <v>162</v>
      </c>
      <c r="AG415" s="2">
        <f t="shared" si="127"/>
        <v>0</v>
      </c>
      <c r="AH415" s="2">
        <f t="shared" si="128"/>
        <v>0</v>
      </c>
      <c r="AI415" s="2">
        <f t="shared" si="138"/>
        <v>162</v>
      </c>
      <c r="AJ415" s="1">
        <f t="shared" si="129"/>
        <v>324</v>
      </c>
      <c r="AK415" s="1">
        <f t="shared" si="130"/>
        <v>162</v>
      </c>
      <c r="AL415" s="1">
        <f t="shared" si="131"/>
        <v>0</v>
      </c>
      <c r="AM415" s="1">
        <f t="shared" si="139"/>
        <v>648</v>
      </c>
    </row>
    <row r="416" spans="1:39" x14ac:dyDescent="0.3">
      <c r="A416" s="12">
        <v>414</v>
      </c>
      <c r="B416" s="58" t="s">
        <v>910</v>
      </c>
      <c r="C416" s="48" t="s">
        <v>983</v>
      </c>
      <c r="D416" s="48" t="s">
        <v>983</v>
      </c>
      <c r="E416" s="48" t="s">
        <v>984</v>
      </c>
      <c r="F416" s="15">
        <f t="shared" si="125"/>
        <v>0</v>
      </c>
      <c r="G416" s="16">
        <f t="shared" si="132"/>
        <v>3</v>
      </c>
      <c r="H416" s="15"/>
      <c r="I416" s="15">
        <f t="shared" si="122"/>
        <v>0</v>
      </c>
      <c r="J416" s="15"/>
      <c r="K416" s="15">
        <f t="shared" si="123"/>
        <v>0</v>
      </c>
      <c r="L416" s="15"/>
      <c r="M416" s="15">
        <f t="shared" si="133"/>
        <v>0</v>
      </c>
      <c r="N416" s="15"/>
      <c r="O416" s="15">
        <f t="shared" si="124"/>
        <v>0</v>
      </c>
      <c r="P416" s="15"/>
      <c r="Q416" s="15">
        <f t="shared" si="134"/>
        <v>0</v>
      </c>
      <c r="R416" s="15"/>
      <c r="S416" s="15">
        <f t="shared" si="135"/>
        <v>0</v>
      </c>
      <c r="T416" s="15">
        <v>3</v>
      </c>
      <c r="U416" s="15">
        <f t="shared" si="136"/>
        <v>0</v>
      </c>
      <c r="V416" s="15">
        <f t="shared" si="121"/>
        <v>0</v>
      </c>
      <c r="W416" s="17"/>
      <c r="X416" s="17"/>
      <c r="Y416" s="18">
        <v>9.7000000000000003E-2</v>
      </c>
      <c r="Z416" s="21">
        <f t="shared" si="137"/>
        <v>0</v>
      </c>
      <c r="AA416" s="21">
        <v>2</v>
      </c>
      <c r="AB416" s="56">
        <f>AD415*AA416</f>
        <v>0</v>
      </c>
      <c r="AC416" s="21"/>
      <c r="AE416" s="19"/>
      <c r="AF416" s="20">
        <f>SUMIF('[1]G-Chart'!G:G,[1]Capacity!D416,'[1]G-Chart'!L:L)</f>
        <v>969</v>
      </c>
      <c r="AG416" s="2">
        <f t="shared" si="127"/>
        <v>0</v>
      </c>
      <c r="AH416" s="2">
        <f t="shared" si="128"/>
        <v>0</v>
      </c>
      <c r="AI416" s="2">
        <f t="shared" si="138"/>
        <v>0</v>
      </c>
      <c r="AJ416" s="1">
        <f t="shared" si="129"/>
        <v>0</v>
      </c>
      <c r="AK416" s="1">
        <f t="shared" si="130"/>
        <v>0</v>
      </c>
      <c r="AL416" s="1">
        <f t="shared" si="131"/>
        <v>2907</v>
      </c>
      <c r="AM416" s="1">
        <f t="shared" si="139"/>
        <v>2907</v>
      </c>
    </row>
    <row r="417" spans="1:39" x14ac:dyDescent="0.3">
      <c r="A417" s="12">
        <v>415</v>
      </c>
      <c r="B417" s="58" t="s">
        <v>985</v>
      </c>
      <c r="C417" s="59" t="s">
        <v>986</v>
      </c>
      <c r="D417" s="59" t="s">
        <v>986</v>
      </c>
      <c r="E417" s="59" t="s">
        <v>987</v>
      </c>
      <c r="F417" s="15">
        <f>+AB417</f>
        <v>24000</v>
      </c>
      <c r="G417" s="16">
        <f t="shared" si="132"/>
        <v>2.5</v>
      </c>
      <c r="H417" s="15">
        <v>1</v>
      </c>
      <c r="I417" s="15">
        <f t="shared" ref="I417:I480" si="140">H417*F417</f>
        <v>24000</v>
      </c>
      <c r="J417" s="15"/>
      <c r="K417" s="15">
        <f t="shared" ref="K417:K490" si="141">F417*J417</f>
        <v>0</v>
      </c>
      <c r="L417" s="15"/>
      <c r="M417" s="15">
        <f>L417*F417</f>
        <v>0</v>
      </c>
      <c r="N417" s="15"/>
      <c r="O417" s="15">
        <f t="shared" si="124"/>
        <v>0</v>
      </c>
      <c r="P417" s="15"/>
      <c r="Q417" s="15">
        <f>P417*F417</f>
        <v>0</v>
      </c>
      <c r="R417" s="15">
        <v>1.5</v>
      </c>
      <c r="S417" s="15">
        <f>R417*F417</f>
        <v>36000</v>
      </c>
      <c r="T417" s="15"/>
      <c r="U417" s="15">
        <f t="shared" si="136"/>
        <v>0</v>
      </c>
      <c r="V417" s="15">
        <f>F417*G417</f>
        <v>60000</v>
      </c>
      <c r="W417" s="17"/>
      <c r="X417" s="17"/>
      <c r="Y417" s="18">
        <v>7.0000000000000007E-2</v>
      </c>
      <c r="Z417" s="21">
        <f>$AD$417*AA417/25</f>
        <v>960</v>
      </c>
      <c r="AA417" s="21">
        <v>2</v>
      </c>
      <c r="AB417" s="1">
        <f>$AD$417*AA417</f>
        <v>24000</v>
      </c>
      <c r="AC417" s="30" t="s">
        <v>985</v>
      </c>
      <c r="AD417" s="31">
        <v>12000</v>
      </c>
      <c r="AE417" s="32" t="s">
        <v>988</v>
      </c>
      <c r="AF417" s="20">
        <f>SUMIF('[1]G-Chart'!G:G,[1]Capacity!D417,'[1]G-Chart'!L:L)</f>
        <v>885</v>
      </c>
      <c r="AG417" s="2">
        <f t="shared" si="127"/>
        <v>0</v>
      </c>
      <c r="AH417" s="2">
        <f t="shared" si="128"/>
        <v>0</v>
      </c>
      <c r="AI417" s="2">
        <f t="shared" si="138"/>
        <v>0</v>
      </c>
      <c r="AJ417" s="1">
        <f t="shared" si="129"/>
        <v>0</v>
      </c>
      <c r="AK417" s="1">
        <f t="shared" si="130"/>
        <v>1327.5</v>
      </c>
      <c r="AL417" s="1">
        <f t="shared" si="131"/>
        <v>0</v>
      </c>
      <c r="AM417" s="1">
        <f t="shared" si="139"/>
        <v>2212.5</v>
      </c>
    </row>
    <row r="418" spans="1:39" x14ac:dyDescent="0.3">
      <c r="A418" s="12">
        <v>416</v>
      </c>
      <c r="B418" s="58" t="s">
        <v>985</v>
      </c>
      <c r="C418" s="59" t="s">
        <v>989</v>
      </c>
      <c r="D418" s="59" t="s">
        <v>989</v>
      </c>
      <c r="E418" s="59" t="s">
        <v>990</v>
      </c>
      <c r="F418" s="15">
        <f t="shared" ref="F418:F486" si="142">+AB418</f>
        <v>24000</v>
      </c>
      <c r="G418" s="16">
        <f t="shared" si="132"/>
        <v>2.5</v>
      </c>
      <c r="H418" s="15">
        <v>1</v>
      </c>
      <c r="I418" s="15">
        <f t="shared" si="140"/>
        <v>24000</v>
      </c>
      <c r="J418" s="15"/>
      <c r="K418" s="15">
        <f t="shared" si="141"/>
        <v>0</v>
      </c>
      <c r="L418" s="15"/>
      <c r="M418" s="15">
        <f>L418*F418</f>
        <v>0</v>
      </c>
      <c r="N418" s="15"/>
      <c r="O418" s="15">
        <f t="shared" si="124"/>
        <v>0</v>
      </c>
      <c r="P418" s="15"/>
      <c r="Q418" s="15">
        <f>P418*F418</f>
        <v>0</v>
      </c>
      <c r="R418" s="15">
        <v>1.5</v>
      </c>
      <c r="S418" s="15">
        <f t="shared" si="135"/>
        <v>36000</v>
      </c>
      <c r="T418" s="15"/>
      <c r="U418" s="15">
        <f t="shared" si="136"/>
        <v>0</v>
      </c>
      <c r="V418" s="15">
        <f t="shared" si="121"/>
        <v>60000</v>
      </c>
      <c r="W418" s="17"/>
      <c r="X418" s="17"/>
      <c r="Y418" s="18">
        <v>7.0000000000000007E-2</v>
      </c>
      <c r="Z418" s="21">
        <f t="shared" ref="Z418:Z465" si="143">$AD$417*AA418/25</f>
        <v>960</v>
      </c>
      <c r="AA418" s="60">
        <v>2</v>
      </c>
      <c r="AB418" s="1">
        <f t="shared" ref="AB418:AB464" si="144">$AD$417*AA418</f>
        <v>24000</v>
      </c>
      <c r="AC418" s="21"/>
      <c r="AE418" s="19"/>
      <c r="AF418" s="20">
        <f>SUMIF('[1]G-Chart'!G:G,[1]Capacity!D418,'[1]G-Chart'!L:L)</f>
        <v>503</v>
      </c>
      <c r="AG418" s="2">
        <f t="shared" si="127"/>
        <v>0</v>
      </c>
      <c r="AH418" s="2">
        <f t="shared" si="128"/>
        <v>0</v>
      </c>
      <c r="AI418" s="2">
        <f t="shared" si="138"/>
        <v>0</v>
      </c>
      <c r="AJ418" s="1">
        <f t="shared" si="129"/>
        <v>0</v>
      </c>
      <c r="AK418" s="1">
        <f t="shared" si="130"/>
        <v>754.5</v>
      </c>
      <c r="AL418" s="1">
        <f t="shared" si="131"/>
        <v>0</v>
      </c>
      <c r="AM418" s="1">
        <f t="shared" si="139"/>
        <v>1257.5</v>
      </c>
    </row>
    <row r="419" spans="1:39" x14ac:dyDescent="0.3">
      <c r="A419" s="12">
        <v>417</v>
      </c>
      <c r="B419" s="58" t="s">
        <v>985</v>
      </c>
      <c r="C419" s="59" t="s">
        <v>991</v>
      </c>
      <c r="D419" s="59" t="s">
        <v>991</v>
      </c>
      <c r="E419" s="59" t="s">
        <v>992</v>
      </c>
      <c r="F419" s="15">
        <f t="shared" si="142"/>
        <v>24000</v>
      </c>
      <c r="G419" s="16">
        <f t="shared" si="132"/>
        <v>3</v>
      </c>
      <c r="H419" s="15">
        <v>1</v>
      </c>
      <c r="I419" s="15">
        <f t="shared" si="140"/>
        <v>24000</v>
      </c>
      <c r="J419" s="15"/>
      <c r="K419" s="15">
        <f t="shared" si="141"/>
        <v>0</v>
      </c>
      <c r="L419" s="15"/>
      <c r="M419" s="15">
        <f t="shared" ref="M419:M485" si="145">L419*F419</f>
        <v>0</v>
      </c>
      <c r="N419" s="15"/>
      <c r="O419" s="15">
        <f t="shared" si="124"/>
        <v>0</v>
      </c>
      <c r="P419" s="15">
        <v>2</v>
      </c>
      <c r="Q419" s="15">
        <f t="shared" ref="Q419:Q485" si="146">P419*F419</f>
        <v>48000</v>
      </c>
      <c r="R419" s="15"/>
      <c r="S419" s="15">
        <f t="shared" si="135"/>
        <v>0</v>
      </c>
      <c r="T419" s="15"/>
      <c r="U419" s="15">
        <f t="shared" si="136"/>
        <v>0</v>
      </c>
      <c r="V419" s="15">
        <f t="shared" si="121"/>
        <v>72000</v>
      </c>
      <c r="W419" s="17"/>
      <c r="X419" s="17"/>
      <c r="Y419" s="18">
        <v>8.2000000000000003E-2</v>
      </c>
      <c r="Z419" s="21">
        <f t="shared" si="143"/>
        <v>960</v>
      </c>
      <c r="AA419" s="60">
        <v>2</v>
      </c>
      <c r="AB419" s="1">
        <f t="shared" si="144"/>
        <v>24000</v>
      </c>
      <c r="AC419" s="21"/>
      <c r="AE419" s="19"/>
      <c r="AF419" s="20">
        <f>SUMIF('[1]G-Chart'!G:G,[1]Capacity!D419,'[1]G-Chart'!L:L)</f>
        <v>2415</v>
      </c>
      <c r="AG419" s="2">
        <f t="shared" si="127"/>
        <v>0</v>
      </c>
      <c r="AH419" s="2">
        <f t="shared" si="128"/>
        <v>0</v>
      </c>
      <c r="AI419" s="2">
        <f t="shared" si="138"/>
        <v>0</v>
      </c>
      <c r="AJ419" s="1">
        <f t="shared" si="129"/>
        <v>4830</v>
      </c>
      <c r="AK419" s="1">
        <f t="shared" si="130"/>
        <v>0</v>
      </c>
      <c r="AL419" s="1">
        <f t="shared" si="131"/>
        <v>0</v>
      </c>
      <c r="AM419" s="1">
        <f t="shared" si="139"/>
        <v>7245</v>
      </c>
    </row>
    <row r="420" spans="1:39" x14ac:dyDescent="0.3">
      <c r="A420" s="12">
        <v>418</v>
      </c>
      <c r="B420" s="58" t="s">
        <v>985</v>
      </c>
      <c r="C420" s="59" t="s">
        <v>993</v>
      </c>
      <c r="D420" s="59" t="s">
        <v>993</v>
      </c>
      <c r="E420" s="59" t="s">
        <v>994</v>
      </c>
      <c r="F420" s="15">
        <f t="shared" si="142"/>
        <v>24000</v>
      </c>
      <c r="G420" s="16">
        <f t="shared" si="132"/>
        <v>3</v>
      </c>
      <c r="H420" s="15">
        <v>1</v>
      </c>
      <c r="I420" s="15">
        <f t="shared" si="140"/>
        <v>24000</v>
      </c>
      <c r="J420" s="15"/>
      <c r="K420" s="15">
        <f t="shared" si="141"/>
        <v>0</v>
      </c>
      <c r="L420" s="15"/>
      <c r="M420" s="15">
        <f t="shared" si="145"/>
        <v>0</v>
      </c>
      <c r="N420" s="15"/>
      <c r="O420" s="15">
        <f t="shared" si="124"/>
        <v>0</v>
      </c>
      <c r="P420" s="15">
        <v>2</v>
      </c>
      <c r="Q420" s="15">
        <f t="shared" si="146"/>
        <v>48000</v>
      </c>
      <c r="R420" s="15"/>
      <c r="S420" s="15">
        <f t="shared" si="135"/>
        <v>0</v>
      </c>
      <c r="T420" s="15"/>
      <c r="U420" s="15">
        <f t="shared" si="136"/>
        <v>0</v>
      </c>
      <c r="V420" s="15">
        <f t="shared" si="121"/>
        <v>72000</v>
      </c>
      <c r="W420" s="17"/>
      <c r="X420" s="17"/>
      <c r="Y420" s="18">
        <v>8.2000000000000003E-2</v>
      </c>
      <c r="Z420" s="21">
        <f t="shared" si="143"/>
        <v>960</v>
      </c>
      <c r="AA420" s="60">
        <v>2</v>
      </c>
      <c r="AB420" s="1">
        <f t="shared" si="144"/>
        <v>24000</v>
      </c>
      <c r="AC420" s="21"/>
      <c r="AE420" s="19"/>
      <c r="AF420" s="20">
        <f>SUMIF('[1]G-Chart'!G:G,[1]Capacity!D420,'[1]G-Chart'!L:L)</f>
        <v>4409</v>
      </c>
      <c r="AG420" s="2">
        <f t="shared" si="127"/>
        <v>0</v>
      </c>
      <c r="AH420" s="2">
        <f t="shared" si="128"/>
        <v>0</v>
      </c>
      <c r="AI420" s="2">
        <f t="shared" si="138"/>
        <v>0</v>
      </c>
      <c r="AJ420" s="1">
        <f t="shared" si="129"/>
        <v>8818</v>
      </c>
      <c r="AK420" s="1">
        <f t="shared" si="130"/>
        <v>0</v>
      </c>
      <c r="AL420" s="1">
        <f t="shared" si="131"/>
        <v>0</v>
      </c>
      <c r="AM420" s="1">
        <f t="shared" si="139"/>
        <v>13227</v>
      </c>
    </row>
    <row r="421" spans="1:39" x14ac:dyDescent="0.3">
      <c r="A421" s="12">
        <v>419</v>
      </c>
      <c r="B421" s="58" t="s">
        <v>985</v>
      </c>
      <c r="C421" s="59" t="s">
        <v>995</v>
      </c>
      <c r="D421" s="59" t="s">
        <v>995</v>
      </c>
      <c r="E421" s="59" t="s">
        <v>996</v>
      </c>
      <c r="F421" s="15">
        <f t="shared" si="142"/>
        <v>12000</v>
      </c>
      <c r="G421" s="16">
        <f t="shared" si="132"/>
        <v>2.5</v>
      </c>
      <c r="H421" s="61">
        <v>1</v>
      </c>
      <c r="I421" s="15">
        <f t="shared" si="140"/>
        <v>12000</v>
      </c>
      <c r="J421" s="15"/>
      <c r="K421" s="15">
        <f t="shared" si="141"/>
        <v>0</v>
      </c>
      <c r="L421" s="15"/>
      <c r="M421" s="15">
        <f t="shared" si="145"/>
        <v>0</v>
      </c>
      <c r="N421" s="15"/>
      <c r="O421" s="15">
        <f t="shared" si="124"/>
        <v>0</v>
      </c>
      <c r="P421" s="15">
        <v>1</v>
      </c>
      <c r="Q421" s="15">
        <f t="shared" si="146"/>
        <v>12000</v>
      </c>
      <c r="R421" s="15">
        <v>0.5</v>
      </c>
      <c r="S421" s="15">
        <f t="shared" si="135"/>
        <v>6000</v>
      </c>
      <c r="T421" s="15"/>
      <c r="U421" s="15">
        <f t="shared" si="136"/>
        <v>0</v>
      </c>
      <c r="V421" s="15">
        <f t="shared" si="121"/>
        <v>30000</v>
      </c>
      <c r="W421" s="17"/>
      <c r="X421" s="17"/>
      <c r="Y421" s="18">
        <v>0.19600000000000001</v>
      </c>
      <c r="Z421" s="21">
        <f t="shared" si="143"/>
        <v>480</v>
      </c>
      <c r="AA421" s="60">
        <v>1</v>
      </c>
      <c r="AB421" s="1">
        <f t="shared" si="144"/>
        <v>12000</v>
      </c>
      <c r="AC421" s="21"/>
      <c r="AE421" s="19"/>
      <c r="AF421" s="20">
        <f>SUMIF('[1]G-Chart'!G:G,[1]Capacity!D421,'[1]G-Chart'!L:L)</f>
        <v>618</v>
      </c>
      <c r="AG421" s="2">
        <f t="shared" si="127"/>
        <v>0</v>
      </c>
      <c r="AH421" s="2">
        <f t="shared" si="128"/>
        <v>0</v>
      </c>
      <c r="AI421" s="2">
        <f t="shared" si="138"/>
        <v>0</v>
      </c>
      <c r="AJ421" s="1">
        <f t="shared" si="129"/>
        <v>618</v>
      </c>
      <c r="AK421" s="1">
        <f t="shared" si="130"/>
        <v>309</v>
      </c>
      <c r="AL421" s="1">
        <f t="shared" si="131"/>
        <v>0</v>
      </c>
      <c r="AM421" s="1">
        <f t="shared" si="139"/>
        <v>1545</v>
      </c>
    </row>
    <row r="422" spans="1:39" x14ac:dyDescent="0.3">
      <c r="A422" s="12">
        <v>420</v>
      </c>
      <c r="B422" s="58" t="s">
        <v>985</v>
      </c>
      <c r="C422" s="59" t="s">
        <v>997</v>
      </c>
      <c r="D422" s="59" t="s">
        <v>997</v>
      </c>
      <c r="E422" s="59" t="s">
        <v>998</v>
      </c>
      <c r="F422" s="15">
        <f t="shared" si="142"/>
        <v>12000</v>
      </c>
      <c r="G422" s="16">
        <f t="shared" si="132"/>
        <v>2.5</v>
      </c>
      <c r="H422" s="61">
        <v>1</v>
      </c>
      <c r="I422" s="15">
        <f t="shared" si="140"/>
        <v>12000</v>
      </c>
      <c r="J422" s="15"/>
      <c r="K422" s="15">
        <f t="shared" si="141"/>
        <v>0</v>
      </c>
      <c r="L422" s="15"/>
      <c r="M422" s="15">
        <f t="shared" si="145"/>
        <v>0</v>
      </c>
      <c r="N422" s="15"/>
      <c r="O422" s="15">
        <f t="shared" si="124"/>
        <v>0</v>
      </c>
      <c r="P422" s="15">
        <v>1</v>
      </c>
      <c r="Q422" s="15">
        <f t="shared" si="146"/>
        <v>12000</v>
      </c>
      <c r="R422" s="15">
        <v>0.5</v>
      </c>
      <c r="S422" s="15">
        <f t="shared" si="135"/>
        <v>6000</v>
      </c>
      <c r="T422" s="15"/>
      <c r="U422" s="15">
        <f t="shared" si="136"/>
        <v>0</v>
      </c>
      <c r="V422" s="15">
        <f t="shared" si="121"/>
        <v>30000</v>
      </c>
      <c r="W422" s="17"/>
      <c r="X422" s="17"/>
      <c r="Y422" s="18">
        <v>0.19600000000000001</v>
      </c>
      <c r="Z422" s="21">
        <f t="shared" si="143"/>
        <v>480</v>
      </c>
      <c r="AA422" s="60">
        <v>1</v>
      </c>
      <c r="AB422" s="1">
        <f t="shared" si="144"/>
        <v>12000</v>
      </c>
      <c r="AC422" s="21"/>
      <c r="AE422" s="19"/>
      <c r="AF422" s="20">
        <f>SUMIF('[1]G-Chart'!G:G,[1]Capacity!D422,'[1]G-Chart'!L:L)</f>
        <v>618</v>
      </c>
      <c r="AG422" s="2">
        <f t="shared" si="127"/>
        <v>0</v>
      </c>
      <c r="AH422" s="2">
        <f t="shared" si="128"/>
        <v>0</v>
      </c>
      <c r="AI422" s="2">
        <f t="shared" si="138"/>
        <v>0</v>
      </c>
      <c r="AJ422" s="1">
        <f t="shared" si="129"/>
        <v>618</v>
      </c>
      <c r="AK422" s="1">
        <f t="shared" si="130"/>
        <v>309</v>
      </c>
      <c r="AL422" s="1">
        <f t="shared" si="131"/>
        <v>0</v>
      </c>
      <c r="AM422" s="1">
        <f t="shared" si="139"/>
        <v>1545</v>
      </c>
    </row>
    <row r="423" spans="1:39" x14ac:dyDescent="0.3">
      <c r="A423" s="12">
        <v>421</v>
      </c>
      <c r="B423" s="58" t="s">
        <v>985</v>
      </c>
      <c r="C423" s="59" t="s">
        <v>999</v>
      </c>
      <c r="D423" s="59" t="s">
        <v>999</v>
      </c>
      <c r="E423" s="59" t="s">
        <v>1000</v>
      </c>
      <c r="F423" s="15">
        <f t="shared" si="142"/>
        <v>12000</v>
      </c>
      <c r="G423" s="16">
        <f t="shared" si="132"/>
        <v>2.5</v>
      </c>
      <c r="H423" s="61">
        <v>1</v>
      </c>
      <c r="I423" s="15">
        <f t="shared" si="140"/>
        <v>12000</v>
      </c>
      <c r="J423" s="15"/>
      <c r="K423" s="15">
        <f t="shared" si="141"/>
        <v>0</v>
      </c>
      <c r="L423" s="15"/>
      <c r="M423" s="15">
        <f t="shared" si="145"/>
        <v>0</v>
      </c>
      <c r="N423" s="15"/>
      <c r="O423" s="15">
        <f t="shared" si="124"/>
        <v>0</v>
      </c>
      <c r="P423" s="15">
        <v>1</v>
      </c>
      <c r="Q423" s="15">
        <f t="shared" si="146"/>
        <v>12000</v>
      </c>
      <c r="R423" s="15">
        <v>0.5</v>
      </c>
      <c r="S423" s="15">
        <f t="shared" si="135"/>
        <v>6000</v>
      </c>
      <c r="T423" s="15"/>
      <c r="U423" s="15">
        <f t="shared" si="136"/>
        <v>0</v>
      </c>
      <c r="V423" s="15">
        <f t="shared" si="121"/>
        <v>30000</v>
      </c>
      <c r="W423" s="17"/>
      <c r="X423" s="17"/>
      <c r="Y423" s="18">
        <v>8.4000000000000005E-2</v>
      </c>
      <c r="Z423" s="21">
        <f t="shared" si="143"/>
        <v>480</v>
      </c>
      <c r="AA423" s="60">
        <v>1</v>
      </c>
      <c r="AB423" s="1">
        <f t="shared" si="144"/>
        <v>12000</v>
      </c>
      <c r="AC423" s="21"/>
      <c r="AE423" s="19"/>
      <c r="AF423" s="20">
        <f>SUMIF('[1]G-Chart'!G:G,[1]Capacity!D423,'[1]G-Chart'!L:L)</f>
        <v>935</v>
      </c>
      <c r="AG423" s="2">
        <f t="shared" si="127"/>
        <v>0</v>
      </c>
      <c r="AH423" s="2">
        <f t="shared" si="128"/>
        <v>0</v>
      </c>
      <c r="AI423" s="2">
        <f t="shared" si="138"/>
        <v>0</v>
      </c>
      <c r="AJ423" s="1">
        <f t="shared" si="129"/>
        <v>935</v>
      </c>
      <c r="AK423" s="1">
        <f t="shared" si="130"/>
        <v>467.5</v>
      </c>
      <c r="AL423" s="1">
        <f t="shared" si="131"/>
        <v>0</v>
      </c>
      <c r="AM423" s="1">
        <f t="shared" si="139"/>
        <v>2337.5</v>
      </c>
    </row>
    <row r="424" spans="1:39" x14ac:dyDescent="0.3">
      <c r="A424" s="12">
        <v>422</v>
      </c>
      <c r="B424" s="58" t="s">
        <v>985</v>
      </c>
      <c r="C424" s="59" t="s">
        <v>1001</v>
      </c>
      <c r="D424" s="59" t="s">
        <v>1001</v>
      </c>
      <c r="E424" s="59" t="s">
        <v>1002</v>
      </c>
      <c r="F424" s="15">
        <f t="shared" si="142"/>
        <v>12000</v>
      </c>
      <c r="G424" s="16">
        <f t="shared" si="132"/>
        <v>2.5</v>
      </c>
      <c r="H424" s="61">
        <v>1</v>
      </c>
      <c r="I424" s="15">
        <f t="shared" si="140"/>
        <v>12000</v>
      </c>
      <c r="J424" s="15"/>
      <c r="K424" s="15">
        <f t="shared" si="141"/>
        <v>0</v>
      </c>
      <c r="L424" s="15"/>
      <c r="M424" s="15">
        <f t="shared" si="145"/>
        <v>0</v>
      </c>
      <c r="N424" s="15"/>
      <c r="O424" s="15">
        <f t="shared" si="124"/>
        <v>0</v>
      </c>
      <c r="P424" s="15">
        <v>1</v>
      </c>
      <c r="Q424" s="15">
        <f t="shared" si="146"/>
        <v>12000</v>
      </c>
      <c r="R424" s="15">
        <v>0.5</v>
      </c>
      <c r="S424" s="15">
        <f t="shared" si="135"/>
        <v>6000</v>
      </c>
      <c r="T424" s="15"/>
      <c r="U424" s="15">
        <f t="shared" si="136"/>
        <v>0</v>
      </c>
      <c r="V424" s="15">
        <f t="shared" si="121"/>
        <v>30000</v>
      </c>
      <c r="W424" s="17"/>
      <c r="X424" s="17"/>
      <c r="Y424" s="18">
        <v>8.4000000000000005E-2</v>
      </c>
      <c r="Z424" s="21">
        <f t="shared" si="143"/>
        <v>480</v>
      </c>
      <c r="AA424" s="60">
        <v>1</v>
      </c>
      <c r="AB424" s="1">
        <f t="shared" si="144"/>
        <v>12000</v>
      </c>
      <c r="AC424" s="21"/>
      <c r="AE424" s="19"/>
      <c r="AF424" s="20">
        <f>SUMIF('[1]G-Chart'!G:G,[1]Capacity!D424,'[1]G-Chart'!L:L)</f>
        <v>1011</v>
      </c>
      <c r="AG424" s="2">
        <f t="shared" si="127"/>
        <v>0</v>
      </c>
      <c r="AH424" s="2">
        <f t="shared" si="128"/>
        <v>0</v>
      </c>
      <c r="AI424" s="2">
        <f t="shared" si="138"/>
        <v>0</v>
      </c>
      <c r="AJ424" s="1">
        <f t="shared" si="129"/>
        <v>1011</v>
      </c>
      <c r="AK424" s="1">
        <f t="shared" si="130"/>
        <v>505.5</v>
      </c>
      <c r="AL424" s="1">
        <f t="shared" si="131"/>
        <v>0</v>
      </c>
      <c r="AM424" s="1">
        <f t="shared" si="139"/>
        <v>2527.5</v>
      </c>
    </row>
    <row r="425" spans="1:39" x14ac:dyDescent="0.3">
      <c r="A425" s="12">
        <v>423</v>
      </c>
      <c r="B425" s="62" t="s">
        <v>985</v>
      </c>
      <c r="C425" s="63" t="s">
        <v>1003</v>
      </c>
      <c r="D425" s="63" t="s">
        <v>1003</v>
      </c>
      <c r="E425" s="59" t="s">
        <v>1004</v>
      </c>
      <c r="F425" s="15">
        <f t="shared" si="142"/>
        <v>0</v>
      </c>
      <c r="G425" s="16">
        <f t="shared" si="132"/>
        <v>4</v>
      </c>
      <c r="H425" s="15"/>
      <c r="I425" s="15">
        <f t="shared" si="140"/>
        <v>0</v>
      </c>
      <c r="J425" s="15"/>
      <c r="K425" s="15">
        <f t="shared" si="141"/>
        <v>0</v>
      </c>
      <c r="L425" s="15">
        <v>2</v>
      </c>
      <c r="M425" s="15">
        <f t="shared" si="145"/>
        <v>0</v>
      </c>
      <c r="N425" s="15">
        <v>2</v>
      </c>
      <c r="O425" s="15">
        <f t="shared" si="124"/>
        <v>0</v>
      </c>
      <c r="P425" s="15"/>
      <c r="Q425" s="15">
        <f t="shared" si="146"/>
        <v>0</v>
      </c>
      <c r="R425" s="15"/>
      <c r="S425" s="15">
        <f t="shared" si="135"/>
        <v>0</v>
      </c>
      <c r="T425" s="15"/>
      <c r="U425" s="15">
        <f t="shared" si="136"/>
        <v>0</v>
      </c>
      <c r="V425" s="15">
        <f t="shared" si="121"/>
        <v>0</v>
      </c>
      <c r="W425" s="17"/>
      <c r="X425" s="17"/>
      <c r="Y425" s="18">
        <v>0.29499999999999998</v>
      </c>
      <c r="Z425" s="21">
        <f t="shared" si="143"/>
        <v>960</v>
      </c>
      <c r="AA425" s="60">
        <v>2</v>
      </c>
      <c r="AB425" s="1">
        <v>0</v>
      </c>
      <c r="AC425" s="21"/>
      <c r="AE425" s="19"/>
      <c r="AF425" s="20">
        <f>SUMIF('[1]G-Chart'!G:G,[1]Capacity!D425,'[1]G-Chart'!L:L)</f>
        <v>-53058</v>
      </c>
      <c r="AG425" s="2">
        <f t="shared" si="127"/>
        <v>0</v>
      </c>
      <c r="AH425" s="2">
        <v>0</v>
      </c>
      <c r="AI425" s="2">
        <v>0</v>
      </c>
      <c r="AJ425" s="1">
        <f t="shared" si="129"/>
        <v>0</v>
      </c>
      <c r="AK425" s="1">
        <f t="shared" si="130"/>
        <v>0</v>
      </c>
      <c r="AL425" s="1">
        <f t="shared" si="131"/>
        <v>0</v>
      </c>
      <c r="AM425" s="1">
        <f t="shared" si="139"/>
        <v>-212232</v>
      </c>
    </row>
    <row r="426" spans="1:39" x14ac:dyDescent="0.3">
      <c r="A426" s="12">
        <v>424</v>
      </c>
      <c r="B426" s="62" t="s">
        <v>985</v>
      </c>
      <c r="C426" s="63" t="s">
        <v>1005</v>
      </c>
      <c r="D426" s="63" t="s">
        <v>1005</v>
      </c>
      <c r="E426" s="59" t="s">
        <v>1006</v>
      </c>
      <c r="F426" s="15">
        <f t="shared" si="142"/>
        <v>0</v>
      </c>
      <c r="G426" s="16">
        <f t="shared" si="132"/>
        <v>4</v>
      </c>
      <c r="H426" s="15"/>
      <c r="I426" s="15">
        <f t="shared" si="140"/>
        <v>0</v>
      </c>
      <c r="J426" s="15"/>
      <c r="K426" s="15">
        <f t="shared" si="141"/>
        <v>0</v>
      </c>
      <c r="L426" s="15">
        <v>2</v>
      </c>
      <c r="M426" s="15">
        <f t="shared" si="145"/>
        <v>0</v>
      </c>
      <c r="N426" s="15">
        <v>2</v>
      </c>
      <c r="O426" s="15">
        <f t="shared" si="124"/>
        <v>0</v>
      </c>
      <c r="P426" s="15"/>
      <c r="Q426" s="15">
        <f t="shared" si="146"/>
        <v>0</v>
      </c>
      <c r="R426" s="15"/>
      <c r="S426" s="15">
        <f t="shared" si="135"/>
        <v>0</v>
      </c>
      <c r="T426" s="15"/>
      <c r="U426" s="15">
        <f t="shared" si="136"/>
        <v>0</v>
      </c>
      <c r="V426" s="15">
        <f t="shared" si="121"/>
        <v>0</v>
      </c>
      <c r="W426" s="17"/>
      <c r="X426" s="17"/>
      <c r="Y426" s="18">
        <v>0.30199999999999999</v>
      </c>
      <c r="Z426" s="21">
        <f t="shared" si="143"/>
        <v>960</v>
      </c>
      <c r="AA426" s="60">
        <v>2</v>
      </c>
      <c r="AB426" s="1">
        <v>0</v>
      </c>
      <c r="AC426" s="21"/>
      <c r="AE426" s="19"/>
      <c r="AF426" s="20">
        <f>SUMIF('[1]G-Chart'!G:G,[1]Capacity!D426,'[1]G-Chart'!L:L)</f>
        <v>-53058</v>
      </c>
      <c r="AG426" s="2">
        <f t="shared" si="127"/>
        <v>0</v>
      </c>
      <c r="AH426" s="2">
        <v>0</v>
      </c>
      <c r="AI426" s="2">
        <v>0</v>
      </c>
      <c r="AJ426" s="1">
        <f t="shared" si="129"/>
        <v>0</v>
      </c>
      <c r="AK426" s="1">
        <f t="shared" si="130"/>
        <v>0</v>
      </c>
      <c r="AL426" s="1">
        <f t="shared" si="131"/>
        <v>0</v>
      </c>
      <c r="AM426" s="1">
        <f t="shared" si="139"/>
        <v>-212232</v>
      </c>
    </row>
    <row r="427" spans="1:39" x14ac:dyDescent="0.3">
      <c r="A427" s="12">
        <v>425</v>
      </c>
      <c r="B427" s="58" t="s">
        <v>985</v>
      </c>
      <c r="C427" s="59" t="s">
        <v>1007</v>
      </c>
      <c r="D427" s="59" t="s">
        <v>1007</v>
      </c>
      <c r="E427" s="59" t="s">
        <v>1008</v>
      </c>
      <c r="F427" s="15">
        <f t="shared" si="142"/>
        <v>12000</v>
      </c>
      <c r="G427" s="16">
        <f t="shared" si="132"/>
        <v>2.5</v>
      </c>
      <c r="H427" s="15"/>
      <c r="I427" s="15">
        <f t="shared" si="140"/>
        <v>0</v>
      </c>
      <c r="J427" s="15"/>
      <c r="K427" s="15">
        <f t="shared" si="141"/>
        <v>0</v>
      </c>
      <c r="L427" s="15">
        <v>1.5</v>
      </c>
      <c r="M427" s="15">
        <f t="shared" si="145"/>
        <v>18000</v>
      </c>
      <c r="N427" s="15">
        <v>1</v>
      </c>
      <c r="O427" s="15">
        <f t="shared" si="124"/>
        <v>12000</v>
      </c>
      <c r="P427" s="15"/>
      <c r="Q427" s="15">
        <f t="shared" si="146"/>
        <v>0</v>
      </c>
      <c r="R427" s="15"/>
      <c r="S427" s="15">
        <f t="shared" si="135"/>
        <v>0</v>
      </c>
      <c r="T427" s="15"/>
      <c r="U427" s="15">
        <f t="shared" si="136"/>
        <v>0</v>
      </c>
      <c r="V427" s="15">
        <f t="shared" si="121"/>
        <v>30000</v>
      </c>
      <c r="W427" s="17"/>
      <c r="X427" s="17"/>
      <c r="Y427" s="18">
        <v>0.121</v>
      </c>
      <c r="Z427" s="21">
        <f t="shared" si="143"/>
        <v>480</v>
      </c>
      <c r="AA427" s="60">
        <v>1</v>
      </c>
      <c r="AB427" s="1">
        <f t="shared" si="144"/>
        <v>12000</v>
      </c>
      <c r="AC427" s="21"/>
      <c r="AE427" s="19"/>
      <c r="AF427" s="20">
        <f>SUMIF('[1]G-Chart'!G:G,[1]Capacity!D427,'[1]G-Chart'!L:L)</f>
        <v>1765</v>
      </c>
      <c r="AG427" s="2">
        <f t="shared" si="127"/>
        <v>0</v>
      </c>
      <c r="AH427" s="2">
        <f t="shared" si="128"/>
        <v>2647.5</v>
      </c>
      <c r="AI427" s="2">
        <f t="shared" si="138"/>
        <v>1765</v>
      </c>
      <c r="AJ427" s="1">
        <f t="shared" si="129"/>
        <v>0</v>
      </c>
      <c r="AK427" s="1">
        <f t="shared" si="130"/>
        <v>0</v>
      </c>
      <c r="AL427" s="1">
        <f t="shared" si="131"/>
        <v>0</v>
      </c>
      <c r="AM427" s="1">
        <f t="shared" si="139"/>
        <v>4412.5</v>
      </c>
    </row>
    <row r="428" spans="1:39" x14ac:dyDescent="0.3">
      <c r="A428" s="12">
        <v>426</v>
      </c>
      <c r="B428" s="58" t="s">
        <v>985</v>
      </c>
      <c r="C428" s="59" t="s">
        <v>1009</v>
      </c>
      <c r="D428" s="59" t="s">
        <v>1009</v>
      </c>
      <c r="E428" s="59" t="s">
        <v>1010</v>
      </c>
      <c r="F428" s="15">
        <f t="shared" si="142"/>
        <v>12000</v>
      </c>
      <c r="G428" s="16">
        <f t="shared" si="132"/>
        <v>2.5</v>
      </c>
      <c r="H428" s="15"/>
      <c r="I428" s="15">
        <f t="shared" si="140"/>
        <v>0</v>
      </c>
      <c r="J428" s="15"/>
      <c r="K428" s="15">
        <f t="shared" si="141"/>
        <v>0</v>
      </c>
      <c r="L428" s="15">
        <v>1.5</v>
      </c>
      <c r="M428" s="15">
        <f t="shared" si="145"/>
        <v>18000</v>
      </c>
      <c r="N428" s="15">
        <v>1</v>
      </c>
      <c r="O428" s="15">
        <f t="shared" si="124"/>
        <v>12000</v>
      </c>
      <c r="P428" s="15"/>
      <c r="Q428" s="15">
        <f t="shared" si="146"/>
        <v>0</v>
      </c>
      <c r="R428" s="15"/>
      <c r="S428" s="15">
        <f t="shared" si="135"/>
        <v>0</v>
      </c>
      <c r="T428" s="15"/>
      <c r="U428" s="15">
        <f t="shared" si="136"/>
        <v>0</v>
      </c>
      <c r="V428" s="15">
        <f t="shared" si="121"/>
        <v>30000</v>
      </c>
      <c r="W428" s="17"/>
      <c r="X428" s="17"/>
      <c r="Y428" s="18">
        <v>0.121</v>
      </c>
      <c r="Z428" s="21">
        <f t="shared" si="143"/>
        <v>480</v>
      </c>
      <c r="AA428" s="60">
        <v>1</v>
      </c>
      <c r="AB428" s="1">
        <f t="shared" si="144"/>
        <v>12000</v>
      </c>
      <c r="AC428" s="21"/>
      <c r="AE428" s="19"/>
      <c r="AF428" s="20">
        <f>SUMIF('[1]G-Chart'!G:G,[1]Capacity!D428,'[1]G-Chart'!L:L)</f>
        <v>1765</v>
      </c>
      <c r="AG428" s="2">
        <f t="shared" si="127"/>
        <v>0</v>
      </c>
      <c r="AH428" s="2">
        <f t="shared" si="128"/>
        <v>2647.5</v>
      </c>
      <c r="AI428" s="2">
        <f t="shared" si="138"/>
        <v>1765</v>
      </c>
      <c r="AJ428" s="1">
        <f t="shared" si="129"/>
        <v>0</v>
      </c>
      <c r="AK428" s="1">
        <f t="shared" si="130"/>
        <v>0</v>
      </c>
      <c r="AL428" s="1">
        <f t="shared" si="131"/>
        <v>0</v>
      </c>
      <c r="AM428" s="1">
        <f t="shared" si="139"/>
        <v>4412.5</v>
      </c>
    </row>
    <row r="429" spans="1:39" x14ac:dyDescent="0.3">
      <c r="A429" s="12">
        <v>427</v>
      </c>
      <c r="B429" s="58" t="s">
        <v>985</v>
      </c>
      <c r="C429" s="59" t="s">
        <v>1011</v>
      </c>
      <c r="D429" s="59" t="s">
        <v>1011</v>
      </c>
      <c r="E429" s="59" t="s">
        <v>1012</v>
      </c>
      <c r="F429" s="15">
        <f t="shared" si="142"/>
        <v>12000</v>
      </c>
      <c r="G429" s="16">
        <f t="shared" si="132"/>
        <v>2.5</v>
      </c>
      <c r="H429" s="15"/>
      <c r="I429" s="15">
        <f t="shared" si="140"/>
        <v>0</v>
      </c>
      <c r="J429" s="15"/>
      <c r="K429" s="15">
        <f t="shared" si="141"/>
        <v>0</v>
      </c>
      <c r="L429" s="15">
        <v>1</v>
      </c>
      <c r="M429" s="15">
        <f>L429*F429</f>
        <v>12000</v>
      </c>
      <c r="N429" s="15">
        <v>0.5</v>
      </c>
      <c r="O429" s="15">
        <f t="shared" si="124"/>
        <v>6000</v>
      </c>
      <c r="P429" s="15">
        <v>1</v>
      </c>
      <c r="Q429" s="15">
        <f t="shared" si="146"/>
        <v>12000</v>
      </c>
      <c r="R429" s="15"/>
      <c r="S429" s="15">
        <f t="shared" si="135"/>
        <v>0</v>
      </c>
      <c r="T429" s="15"/>
      <c r="U429" s="15">
        <f t="shared" si="136"/>
        <v>0</v>
      </c>
      <c r="V429" s="15">
        <f t="shared" si="121"/>
        <v>30000</v>
      </c>
      <c r="W429" s="17"/>
      <c r="X429" s="17"/>
      <c r="Y429" s="18">
        <v>0.48</v>
      </c>
      <c r="Z429" s="21">
        <f t="shared" si="143"/>
        <v>480</v>
      </c>
      <c r="AA429" s="60">
        <v>1</v>
      </c>
      <c r="AB429" s="1">
        <f t="shared" si="144"/>
        <v>12000</v>
      </c>
      <c r="AC429" s="21"/>
      <c r="AE429" s="19"/>
      <c r="AF429" s="20">
        <f>SUMIF('[1]G-Chart'!G:G,[1]Capacity!D429,'[1]G-Chart'!L:L)</f>
        <v>2330</v>
      </c>
      <c r="AG429" s="2">
        <f t="shared" si="127"/>
        <v>0</v>
      </c>
      <c r="AH429" s="2">
        <f t="shared" si="128"/>
        <v>2330</v>
      </c>
      <c r="AI429" s="2">
        <f t="shared" si="138"/>
        <v>1165</v>
      </c>
      <c r="AJ429" s="1">
        <f t="shared" si="129"/>
        <v>2330</v>
      </c>
      <c r="AK429" s="1">
        <f t="shared" si="130"/>
        <v>0</v>
      </c>
      <c r="AL429" s="1">
        <f t="shared" si="131"/>
        <v>0</v>
      </c>
      <c r="AM429" s="1">
        <f t="shared" si="139"/>
        <v>5825</v>
      </c>
    </row>
    <row r="430" spans="1:39" x14ac:dyDescent="0.3">
      <c r="A430" s="12">
        <v>428</v>
      </c>
      <c r="B430" s="58" t="s">
        <v>985</v>
      </c>
      <c r="C430" s="59" t="s">
        <v>1013</v>
      </c>
      <c r="D430" s="59" t="s">
        <v>1013</v>
      </c>
      <c r="E430" s="59" t="s">
        <v>1014</v>
      </c>
      <c r="F430" s="15">
        <f t="shared" si="142"/>
        <v>12000</v>
      </c>
      <c r="G430" s="16">
        <f t="shared" si="132"/>
        <v>2.5</v>
      </c>
      <c r="H430" s="15"/>
      <c r="I430" s="15">
        <f t="shared" si="140"/>
        <v>0</v>
      </c>
      <c r="J430" s="15"/>
      <c r="K430" s="15">
        <f t="shared" si="141"/>
        <v>0</v>
      </c>
      <c r="L430" s="15">
        <v>1</v>
      </c>
      <c r="M430" s="15">
        <f t="shared" si="145"/>
        <v>12000</v>
      </c>
      <c r="N430" s="15">
        <v>0.5</v>
      </c>
      <c r="O430" s="15">
        <f t="shared" si="124"/>
        <v>6000</v>
      </c>
      <c r="P430" s="15">
        <v>1</v>
      </c>
      <c r="Q430" s="15">
        <f t="shared" si="146"/>
        <v>12000</v>
      </c>
      <c r="R430" s="15"/>
      <c r="S430" s="15">
        <f t="shared" si="135"/>
        <v>0</v>
      </c>
      <c r="T430" s="15"/>
      <c r="U430" s="15">
        <f t="shared" si="136"/>
        <v>0</v>
      </c>
      <c r="V430" s="15">
        <f t="shared" si="121"/>
        <v>30000</v>
      </c>
      <c r="W430" s="17"/>
      <c r="X430" s="17"/>
      <c r="Y430" s="18">
        <v>0.48099999999999998</v>
      </c>
      <c r="Z430" s="21">
        <f t="shared" si="143"/>
        <v>480</v>
      </c>
      <c r="AA430" s="60">
        <v>1</v>
      </c>
      <c r="AB430" s="1">
        <f t="shared" si="144"/>
        <v>12000</v>
      </c>
      <c r="AC430" s="21"/>
      <c r="AE430" s="19"/>
      <c r="AF430" s="20">
        <f>SUMIF('[1]G-Chart'!G:G,[1]Capacity!D430,'[1]G-Chart'!L:L)</f>
        <v>2330</v>
      </c>
      <c r="AG430" s="2">
        <f t="shared" si="127"/>
        <v>0</v>
      </c>
      <c r="AH430" s="2">
        <f t="shared" si="128"/>
        <v>2330</v>
      </c>
      <c r="AI430" s="2">
        <f t="shared" si="138"/>
        <v>1165</v>
      </c>
      <c r="AJ430" s="1">
        <f t="shared" si="129"/>
        <v>2330</v>
      </c>
      <c r="AK430" s="1">
        <f t="shared" si="130"/>
        <v>0</v>
      </c>
      <c r="AL430" s="1">
        <f t="shared" si="131"/>
        <v>0</v>
      </c>
      <c r="AM430" s="1">
        <f t="shared" si="139"/>
        <v>5825</v>
      </c>
    </row>
    <row r="431" spans="1:39" x14ac:dyDescent="0.3">
      <c r="A431" s="12">
        <v>429</v>
      </c>
      <c r="B431" s="58" t="s">
        <v>985</v>
      </c>
      <c r="C431" s="59" t="s">
        <v>1015</v>
      </c>
      <c r="D431" s="59" t="s">
        <v>1015</v>
      </c>
      <c r="E431" s="59" t="s">
        <v>1016</v>
      </c>
      <c r="F431" s="15">
        <f t="shared" si="142"/>
        <v>4889</v>
      </c>
      <c r="G431" s="16">
        <f t="shared" si="132"/>
        <v>2</v>
      </c>
      <c r="H431" s="15"/>
      <c r="I431" s="15">
        <f t="shared" si="140"/>
        <v>0</v>
      </c>
      <c r="J431" s="15"/>
      <c r="K431" s="15">
        <f t="shared" si="141"/>
        <v>0</v>
      </c>
      <c r="L431" s="15"/>
      <c r="M431" s="15">
        <f t="shared" si="145"/>
        <v>0</v>
      </c>
      <c r="N431" s="15">
        <v>0.5</v>
      </c>
      <c r="O431" s="15">
        <f t="shared" si="124"/>
        <v>2444.5</v>
      </c>
      <c r="P431" s="15">
        <v>1</v>
      </c>
      <c r="Q431" s="15">
        <f t="shared" si="146"/>
        <v>4889</v>
      </c>
      <c r="R431" s="15">
        <v>0.5</v>
      </c>
      <c r="S431" s="15">
        <f t="shared" si="135"/>
        <v>2444.5</v>
      </c>
      <c r="T431" s="15"/>
      <c r="U431" s="15">
        <f t="shared" si="136"/>
        <v>0</v>
      </c>
      <c r="V431" s="15">
        <f t="shared" si="121"/>
        <v>9778</v>
      </c>
      <c r="W431" s="17"/>
      <c r="X431" s="17"/>
      <c r="Y431" s="18">
        <v>0.159</v>
      </c>
      <c r="Z431" s="21">
        <f t="shared" si="143"/>
        <v>480</v>
      </c>
      <c r="AA431" s="21">
        <v>1</v>
      </c>
      <c r="AB431" s="1">
        <f>$AD$431*AA431</f>
        <v>4889</v>
      </c>
      <c r="AC431" s="21"/>
      <c r="AD431" s="31">
        <v>4889</v>
      </c>
      <c r="AE431" s="32" t="s">
        <v>1017</v>
      </c>
      <c r="AF431" s="20">
        <f>SUMIF('[1]G-Chart'!G:G,[1]Capacity!D431,'[1]G-Chart'!L:L)</f>
        <v>2983</v>
      </c>
      <c r="AG431" s="2">
        <f t="shared" si="127"/>
        <v>0</v>
      </c>
      <c r="AH431" s="2">
        <f t="shared" si="128"/>
        <v>0</v>
      </c>
      <c r="AI431" s="2">
        <f t="shared" si="138"/>
        <v>1491.5</v>
      </c>
      <c r="AJ431" s="1">
        <f t="shared" si="129"/>
        <v>2983</v>
      </c>
      <c r="AK431" s="1">
        <f t="shared" si="130"/>
        <v>1491.5</v>
      </c>
      <c r="AL431" s="1">
        <f t="shared" si="131"/>
        <v>0</v>
      </c>
      <c r="AM431" s="1">
        <f t="shared" si="139"/>
        <v>5966</v>
      </c>
    </row>
    <row r="432" spans="1:39" x14ac:dyDescent="0.3">
      <c r="A432" s="12">
        <v>430</v>
      </c>
      <c r="B432" s="58" t="s">
        <v>985</v>
      </c>
      <c r="C432" s="59" t="s">
        <v>1018</v>
      </c>
      <c r="D432" s="59" t="s">
        <v>1018</v>
      </c>
      <c r="E432" s="59" t="s">
        <v>1019</v>
      </c>
      <c r="F432" s="15">
        <f t="shared" si="142"/>
        <v>4889</v>
      </c>
      <c r="G432" s="16">
        <f t="shared" si="132"/>
        <v>2</v>
      </c>
      <c r="H432" s="15"/>
      <c r="I432" s="15">
        <f t="shared" si="140"/>
        <v>0</v>
      </c>
      <c r="J432" s="15"/>
      <c r="K432" s="15">
        <f t="shared" si="141"/>
        <v>0</v>
      </c>
      <c r="L432" s="15"/>
      <c r="M432" s="15">
        <f t="shared" si="145"/>
        <v>0</v>
      </c>
      <c r="N432" s="15">
        <v>0.5</v>
      </c>
      <c r="O432" s="15">
        <f t="shared" si="124"/>
        <v>2444.5</v>
      </c>
      <c r="P432" s="15">
        <v>1</v>
      </c>
      <c r="Q432" s="15">
        <f t="shared" si="146"/>
        <v>4889</v>
      </c>
      <c r="R432" s="15">
        <v>0.5</v>
      </c>
      <c r="S432" s="15">
        <f t="shared" si="135"/>
        <v>2444.5</v>
      </c>
      <c r="T432" s="15"/>
      <c r="U432" s="15">
        <f t="shared" si="136"/>
        <v>0</v>
      </c>
      <c r="V432" s="15">
        <f t="shared" si="121"/>
        <v>9778</v>
      </c>
      <c r="W432" s="17"/>
      <c r="X432" s="17"/>
      <c r="Y432" s="18">
        <v>0.159</v>
      </c>
      <c r="Z432" s="21">
        <f t="shared" si="143"/>
        <v>480</v>
      </c>
      <c r="AA432" s="21">
        <v>1</v>
      </c>
      <c r="AB432" s="1">
        <f t="shared" ref="AB432:AB440" si="147">$AD$431*AA432</f>
        <v>4889</v>
      </c>
      <c r="AC432" s="21"/>
      <c r="AE432" s="19"/>
      <c r="AF432" s="20">
        <f>SUMIF('[1]G-Chart'!G:G,[1]Capacity!D432,'[1]G-Chart'!L:L)</f>
        <v>2983</v>
      </c>
      <c r="AG432" s="2">
        <f t="shared" si="127"/>
        <v>0</v>
      </c>
      <c r="AH432" s="2">
        <f t="shared" si="128"/>
        <v>0</v>
      </c>
      <c r="AI432" s="2">
        <f t="shared" si="138"/>
        <v>1491.5</v>
      </c>
      <c r="AJ432" s="1">
        <f t="shared" si="129"/>
        <v>2983</v>
      </c>
      <c r="AK432" s="1">
        <f t="shared" si="130"/>
        <v>1491.5</v>
      </c>
      <c r="AL432" s="1">
        <f t="shared" si="131"/>
        <v>0</v>
      </c>
      <c r="AM432" s="1">
        <f t="shared" si="139"/>
        <v>5966</v>
      </c>
    </row>
    <row r="433" spans="1:39" x14ac:dyDescent="0.3">
      <c r="A433" s="12">
        <v>431</v>
      </c>
      <c r="B433" s="58" t="s">
        <v>985</v>
      </c>
      <c r="C433" s="59" t="s">
        <v>1020</v>
      </c>
      <c r="D433" s="59" t="s">
        <v>1020</v>
      </c>
      <c r="E433" s="59" t="s">
        <v>1019</v>
      </c>
      <c r="F433" s="15">
        <f t="shared" si="142"/>
        <v>4889</v>
      </c>
      <c r="G433" s="16">
        <f t="shared" si="132"/>
        <v>2.5</v>
      </c>
      <c r="H433" s="15"/>
      <c r="I433" s="15">
        <f t="shared" si="140"/>
        <v>0</v>
      </c>
      <c r="J433" s="15"/>
      <c r="K433" s="15">
        <f t="shared" si="141"/>
        <v>0</v>
      </c>
      <c r="L433" s="15">
        <v>0.5</v>
      </c>
      <c r="M433" s="15">
        <f t="shared" si="145"/>
        <v>2444.5</v>
      </c>
      <c r="N433" s="15">
        <v>1</v>
      </c>
      <c r="O433" s="15">
        <f t="shared" si="124"/>
        <v>4889</v>
      </c>
      <c r="P433" s="15">
        <v>1</v>
      </c>
      <c r="Q433" s="15">
        <f t="shared" si="146"/>
        <v>4889</v>
      </c>
      <c r="R433" s="15"/>
      <c r="S433" s="15">
        <f t="shared" si="135"/>
        <v>0</v>
      </c>
      <c r="T433" s="15"/>
      <c r="U433" s="15">
        <f t="shared" si="136"/>
        <v>0</v>
      </c>
      <c r="V433" s="15">
        <f t="shared" si="121"/>
        <v>12222.5</v>
      </c>
      <c r="W433" s="17"/>
      <c r="X433" s="17"/>
      <c r="Y433" s="18">
        <v>0.17</v>
      </c>
      <c r="Z433" s="21">
        <f t="shared" si="143"/>
        <v>480</v>
      </c>
      <c r="AA433" s="21">
        <v>1</v>
      </c>
      <c r="AB433" s="1">
        <f t="shared" si="147"/>
        <v>4889</v>
      </c>
      <c r="AC433" s="21"/>
      <c r="AE433" s="19"/>
      <c r="AF433" s="20">
        <f>SUMIF('[1]G-Chart'!G:G,[1]Capacity!D433,'[1]G-Chart'!L:L)</f>
        <v>1633</v>
      </c>
      <c r="AG433" s="2">
        <f t="shared" si="127"/>
        <v>0</v>
      </c>
      <c r="AH433" s="2">
        <f t="shared" si="128"/>
        <v>816.5</v>
      </c>
      <c r="AI433" s="2">
        <f t="shared" si="138"/>
        <v>1633</v>
      </c>
      <c r="AJ433" s="1">
        <f t="shared" si="129"/>
        <v>1633</v>
      </c>
      <c r="AK433" s="1">
        <f t="shared" si="130"/>
        <v>0</v>
      </c>
      <c r="AL433" s="1">
        <f t="shared" si="131"/>
        <v>0</v>
      </c>
      <c r="AM433" s="1">
        <f t="shared" si="139"/>
        <v>4082.5</v>
      </c>
    </row>
    <row r="434" spans="1:39" x14ac:dyDescent="0.3">
      <c r="A434" s="12">
        <v>432</v>
      </c>
      <c r="B434" s="58" t="s">
        <v>985</v>
      </c>
      <c r="C434" s="59" t="s">
        <v>1021</v>
      </c>
      <c r="D434" s="59" t="s">
        <v>1021</v>
      </c>
      <c r="E434" s="59" t="s">
        <v>1022</v>
      </c>
      <c r="F434" s="15">
        <f t="shared" si="142"/>
        <v>4889</v>
      </c>
      <c r="G434" s="16">
        <f t="shared" si="132"/>
        <v>2.5</v>
      </c>
      <c r="H434" s="15"/>
      <c r="I434" s="15">
        <f t="shared" si="140"/>
        <v>0</v>
      </c>
      <c r="J434" s="15"/>
      <c r="K434" s="15">
        <f t="shared" si="141"/>
        <v>0</v>
      </c>
      <c r="L434" s="15">
        <v>0.5</v>
      </c>
      <c r="M434" s="15">
        <f t="shared" si="145"/>
        <v>2444.5</v>
      </c>
      <c r="N434" s="15">
        <v>1</v>
      </c>
      <c r="O434" s="15">
        <f t="shared" si="124"/>
        <v>4889</v>
      </c>
      <c r="P434" s="15">
        <v>1</v>
      </c>
      <c r="Q434" s="15">
        <f t="shared" si="146"/>
        <v>4889</v>
      </c>
      <c r="R434" s="15"/>
      <c r="S434" s="15">
        <f t="shared" si="135"/>
        <v>0</v>
      </c>
      <c r="T434" s="15"/>
      <c r="U434" s="15">
        <f t="shared" si="136"/>
        <v>0</v>
      </c>
      <c r="V434" s="15">
        <f t="shared" si="121"/>
        <v>12222.5</v>
      </c>
      <c r="W434" s="17"/>
      <c r="X434" s="17"/>
      <c r="Y434" s="18">
        <v>0.17</v>
      </c>
      <c r="Z434" s="21">
        <f t="shared" si="143"/>
        <v>480</v>
      </c>
      <c r="AA434" s="21">
        <v>1</v>
      </c>
      <c r="AB434" s="1">
        <f t="shared" si="147"/>
        <v>4889</v>
      </c>
      <c r="AC434" s="21"/>
      <c r="AE434" s="19"/>
      <c r="AF434" s="20">
        <f>SUMIF('[1]G-Chart'!G:G,[1]Capacity!D434,'[1]G-Chart'!L:L)</f>
        <v>1865</v>
      </c>
      <c r="AG434" s="2">
        <f t="shared" si="127"/>
        <v>0</v>
      </c>
      <c r="AH434" s="2">
        <f t="shared" si="128"/>
        <v>932.5</v>
      </c>
      <c r="AI434" s="2">
        <f t="shared" si="138"/>
        <v>1865</v>
      </c>
      <c r="AJ434" s="1">
        <f t="shared" si="129"/>
        <v>1865</v>
      </c>
      <c r="AK434" s="1">
        <f t="shared" si="130"/>
        <v>0</v>
      </c>
      <c r="AL434" s="1">
        <f t="shared" si="131"/>
        <v>0</v>
      </c>
      <c r="AM434" s="1">
        <f t="shared" si="139"/>
        <v>4662.5</v>
      </c>
    </row>
    <row r="435" spans="1:39" x14ac:dyDescent="0.3">
      <c r="A435" s="12">
        <v>433</v>
      </c>
      <c r="B435" s="58" t="s">
        <v>985</v>
      </c>
      <c r="C435" s="59" t="s">
        <v>1023</v>
      </c>
      <c r="D435" s="59" t="s">
        <v>1023</v>
      </c>
      <c r="E435" s="59" t="s">
        <v>1024</v>
      </c>
      <c r="F435" s="15">
        <f t="shared" si="142"/>
        <v>4889</v>
      </c>
      <c r="G435" s="16">
        <f t="shared" si="132"/>
        <v>2</v>
      </c>
      <c r="H435" s="15"/>
      <c r="I435" s="15">
        <f t="shared" si="140"/>
        <v>0</v>
      </c>
      <c r="J435" s="15"/>
      <c r="K435" s="15">
        <f t="shared" si="141"/>
        <v>0</v>
      </c>
      <c r="L435" s="15"/>
      <c r="M435" s="15">
        <f t="shared" si="145"/>
        <v>0</v>
      </c>
      <c r="N435" s="15">
        <v>0.5</v>
      </c>
      <c r="O435" s="15">
        <f t="shared" si="124"/>
        <v>2444.5</v>
      </c>
      <c r="P435" s="15">
        <v>1.5</v>
      </c>
      <c r="Q435" s="15">
        <f t="shared" si="146"/>
        <v>7333.5</v>
      </c>
      <c r="R435" s="15"/>
      <c r="S435" s="15">
        <f t="shared" si="135"/>
        <v>0</v>
      </c>
      <c r="T435" s="15"/>
      <c r="U435" s="15">
        <f t="shared" si="136"/>
        <v>0</v>
      </c>
      <c r="V435" s="15">
        <f t="shared" si="121"/>
        <v>9778</v>
      </c>
      <c r="W435" s="17"/>
      <c r="X435" s="17"/>
      <c r="Y435" s="18">
        <v>3.2000000000000001E-2</v>
      </c>
      <c r="Z435" s="21">
        <f t="shared" si="143"/>
        <v>480</v>
      </c>
      <c r="AA435" s="21">
        <v>1</v>
      </c>
      <c r="AB435" s="1">
        <f t="shared" si="147"/>
        <v>4889</v>
      </c>
      <c r="AC435" s="21"/>
      <c r="AE435" s="19"/>
      <c r="AF435" s="20">
        <f>SUMIF('[1]G-Chart'!G:G,[1]Capacity!D435,'[1]G-Chart'!L:L)</f>
        <v>10744</v>
      </c>
      <c r="AG435" s="2">
        <f t="shared" si="127"/>
        <v>0</v>
      </c>
      <c r="AH435" s="2">
        <f t="shared" si="128"/>
        <v>0</v>
      </c>
      <c r="AI435" s="2">
        <f t="shared" si="138"/>
        <v>5372</v>
      </c>
      <c r="AJ435" s="1">
        <f t="shared" si="129"/>
        <v>16116</v>
      </c>
      <c r="AK435" s="1">
        <f t="shared" si="130"/>
        <v>0</v>
      </c>
      <c r="AL435" s="1">
        <f t="shared" si="131"/>
        <v>0</v>
      </c>
      <c r="AM435" s="1">
        <f t="shared" si="139"/>
        <v>21488</v>
      </c>
    </row>
    <row r="436" spans="1:39" x14ac:dyDescent="0.3">
      <c r="A436" s="12">
        <v>434</v>
      </c>
      <c r="B436" s="58" t="s">
        <v>985</v>
      </c>
      <c r="C436" s="59" t="s">
        <v>1025</v>
      </c>
      <c r="D436" s="59" t="s">
        <v>1025</v>
      </c>
      <c r="E436" s="59" t="s">
        <v>1026</v>
      </c>
      <c r="F436" s="15">
        <f t="shared" si="142"/>
        <v>4889</v>
      </c>
      <c r="G436" s="16">
        <f t="shared" si="132"/>
        <v>2</v>
      </c>
      <c r="H436" s="15"/>
      <c r="I436" s="15">
        <f t="shared" si="140"/>
        <v>0</v>
      </c>
      <c r="J436" s="15"/>
      <c r="K436" s="15">
        <f t="shared" si="141"/>
        <v>0</v>
      </c>
      <c r="L436" s="15"/>
      <c r="M436" s="15">
        <f t="shared" si="145"/>
        <v>0</v>
      </c>
      <c r="N436" s="15">
        <v>0.5</v>
      </c>
      <c r="O436" s="15">
        <f t="shared" si="124"/>
        <v>2444.5</v>
      </c>
      <c r="P436" s="15">
        <v>1.5</v>
      </c>
      <c r="Q436" s="15">
        <f t="shared" si="146"/>
        <v>7333.5</v>
      </c>
      <c r="R436" s="15"/>
      <c r="S436" s="15">
        <f t="shared" si="135"/>
        <v>0</v>
      </c>
      <c r="T436" s="15"/>
      <c r="U436" s="15">
        <f t="shared" si="136"/>
        <v>0</v>
      </c>
      <c r="V436" s="15">
        <f t="shared" si="121"/>
        <v>9778</v>
      </c>
      <c r="W436" s="17"/>
      <c r="X436" s="17"/>
      <c r="Y436" s="18">
        <v>3.2000000000000001E-2</v>
      </c>
      <c r="Z436" s="21">
        <f t="shared" si="143"/>
        <v>480</v>
      </c>
      <c r="AA436" s="21">
        <v>1</v>
      </c>
      <c r="AB436" s="1">
        <f t="shared" si="147"/>
        <v>4889</v>
      </c>
      <c r="AC436" s="21"/>
      <c r="AE436" s="19"/>
      <c r="AF436" s="20">
        <f>SUMIF('[1]G-Chart'!G:G,[1]Capacity!D436,'[1]G-Chart'!L:L)</f>
        <v>10731</v>
      </c>
      <c r="AG436" s="2">
        <f t="shared" si="127"/>
        <v>0</v>
      </c>
      <c r="AH436" s="2">
        <f t="shared" si="128"/>
        <v>0</v>
      </c>
      <c r="AI436" s="2">
        <f t="shared" si="138"/>
        <v>5365.5</v>
      </c>
      <c r="AJ436" s="1">
        <f t="shared" si="129"/>
        <v>16096.5</v>
      </c>
      <c r="AK436" s="1">
        <f t="shared" si="130"/>
        <v>0</v>
      </c>
      <c r="AL436" s="1">
        <f t="shared" si="131"/>
        <v>0</v>
      </c>
      <c r="AM436" s="1">
        <f t="shared" si="139"/>
        <v>21462</v>
      </c>
    </row>
    <row r="437" spans="1:39" x14ac:dyDescent="0.3">
      <c r="A437" s="12">
        <v>435</v>
      </c>
      <c r="B437" s="58" t="s">
        <v>985</v>
      </c>
      <c r="C437" s="59" t="s">
        <v>1027</v>
      </c>
      <c r="D437" s="59" t="s">
        <v>1027</v>
      </c>
      <c r="E437" s="59" t="s">
        <v>1028</v>
      </c>
      <c r="F437" s="15">
        <f t="shared" si="142"/>
        <v>4889</v>
      </c>
      <c r="G437" s="16">
        <f t="shared" si="132"/>
        <v>2</v>
      </c>
      <c r="H437" s="15"/>
      <c r="I437" s="15">
        <f t="shared" si="140"/>
        <v>0</v>
      </c>
      <c r="J437" s="15"/>
      <c r="K437" s="15">
        <f t="shared" si="141"/>
        <v>0</v>
      </c>
      <c r="L437" s="15"/>
      <c r="M437" s="15">
        <f t="shared" si="145"/>
        <v>0</v>
      </c>
      <c r="N437" s="15"/>
      <c r="O437" s="15">
        <f t="shared" si="124"/>
        <v>0</v>
      </c>
      <c r="P437" s="15"/>
      <c r="Q437" s="15">
        <f t="shared" si="146"/>
        <v>0</v>
      </c>
      <c r="R437" s="15">
        <v>1</v>
      </c>
      <c r="S437" s="15">
        <f t="shared" si="135"/>
        <v>4889</v>
      </c>
      <c r="T437" s="15">
        <v>1</v>
      </c>
      <c r="U437" s="15">
        <f>T437*F437</f>
        <v>4889</v>
      </c>
      <c r="V437" s="15">
        <f t="shared" si="121"/>
        <v>9778</v>
      </c>
      <c r="W437" s="17"/>
      <c r="X437" s="17"/>
      <c r="Y437" s="18">
        <v>2.1000000000000001E-2</v>
      </c>
      <c r="Z437" s="21">
        <f t="shared" si="143"/>
        <v>480</v>
      </c>
      <c r="AA437" s="21">
        <v>1</v>
      </c>
      <c r="AB437" s="1">
        <f t="shared" si="147"/>
        <v>4889</v>
      </c>
      <c r="AC437" s="21"/>
      <c r="AE437" s="19"/>
      <c r="AF437" s="20">
        <f>SUMIF('[1]G-Chart'!G:G,[1]Capacity!D437,'[1]G-Chart'!L:L)</f>
        <v>612</v>
      </c>
      <c r="AG437" s="2">
        <f t="shared" si="127"/>
        <v>0</v>
      </c>
      <c r="AH437" s="2">
        <f t="shared" si="128"/>
        <v>0</v>
      </c>
      <c r="AI437" s="2">
        <f t="shared" si="138"/>
        <v>0</v>
      </c>
      <c r="AJ437" s="1">
        <f t="shared" si="129"/>
        <v>0</v>
      </c>
      <c r="AK437" s="1">
        <f t="shared" si="130"/>
        <v>612</v>
      </c>
      <c r="AL437" s="1">
        <f t="shared" si="131"/>
        <v>612</v>
      </c>
      <c r="AM437" s="1">
        <f t="shared" si="139"/>
        <v>1224</v>
      </c>
    </row>
    <row r="438" spans="1:39" x14ac:dyDescent="0.3">
      <c r="A438" s="12">
        <v>436</v>
      </c>
      <c r="B438" s="58" t="s">
        <v>985</v>
      </c>
      <c r="C438" s="59" t="s">
        <v>1029</v>
      </c>
      <c r="D438" s="59" t="s">
        <v>1029</v>
      </c>
      <c r="E438" s="59" t="s">
        <v>1030</v>
      </c>
      <c r="F438" s="15">
        <f t="shared" si="142"/>
        <v>4889</v>
      </c>
      <c r="G438" s="16">
        <f t="shared" si="132"/>
        <v>2</v>
      </c>
      <c r="H438" s="15"/>
      <c r="I438" s="15">
        <f t="shared" si="140"/>
        <v>0</v>
      </c>
      <c r="J438" s="15"/>
      <c r="K438" s="15">
        <f t="shared" si="141"/>
        <v>0</v>
      </c>
      <c r="L438" s="15"/>
      <c r="M438" s="15">
        <f t="shared" si="145"/>
        <v>0</v>
      </c>
      <c r="N438" s="15"/>
      <c r="O438" s="15">
        <f t="shared" si="124"/>
        <v>0</v>
      </c>
      <c r="P438" s="15"/>
      <c r="Q438" s="15">
        <f t="shared" si="146"/>
        <v>0</v>
      </c>
      <c r="R438" s="15">
        <v>1</v>
      </c>
      <c r="S438" s="15">
        <f t="shared" si="135"/>
        <v>4889</v>
      </c>
      <c r="T438" s="15">
        <v>1</v>
      </c>
      <c r="U438" s="15">
        <f t="shared" si="136"/>
        <v>4889</v>
      </c>
      <c r="V438" s="15">
        <f t="shared" ref="V438:V534" si="148">F438*G438</f>
        <v>9778</v>
      </c>
      <c r="W438" s="17"/>
      <c r="X438" s="17"/>
      <c r="Y438" s="18">
        <v>2.1000000000000001E-2</v>
      </c>
      <c r="Z438" s="21">
        <f t="shared" si="143"/>
        <v>480</v>
      </c>
      <c r="AA438" s="21">
        <v>1</v>
      </c>
      <c r="AB438" s="1">
        <f t="shared" si="147"/>
        <v>4889</v>
      </c>
      <c r="AC438" s="21"/>
      <c r="AE438" s="19"/>
      <c r="AF438" s="20">
        <f>SUMIF('[1]G-Chart'!G:G,[1]Capacity!D438,'[1]G-Chart'!L:L)</f>
        <v>612</v>
      </c>
      <c r="AG438" s="2">
        <f t="shared" si="127"/>
        <v>0</v>
      </c>
      <c r="AH438" s="2">
        <f t="shared" si="128"/>
        <v>0</v>
      </c>
      <c r="AI438" s="2">
        <f t="shared" si="138"/>
        <v>0</v>
      </c>
      <c r="AJ438" s="1">
        <f t="shared" si="129"/>
        <v>0</v>
      </c>
      <c r="AK438" s="1">
        <f t="shared" si="130"/>
        <v>612</v>
      </c>
      <c r="AL438" s="1">
        <f t="shared" si="131"/>
        <v>612</v>
      </c>
      <c r="AM438" s="1">
        <f t="shared" si="139"/>
        <v>1224</v>
      </c>
    </row>
    <row r="439" spans="1:39" x14ac:dyDescent="0.3">
      <c r="A439" s="12">
        <v>437</v>
      </c>
      <c r="B439" s="58" t="s">
        <v>985</v>
      </c>
      <c r="C439" s="59" t="s">
        <v>1031</v>
      </c>
      <c r="D439" s="59" t="s">
        <v>1031</v>
      </c>
      <c r="E439" s="59" t="s">
        <v>1032</v>
      </c>
      <c r="F439" s="15">
        <f t="shared" si="142"/>
        <v>4889</v>
      </c>
      <c r="G439" s="16">
        <f t="shared" si="132"/>
        <v>2.5</v>
      </c>
      <c r="H439" s="15"/>
      <c r="I439" s="15">
        <f t="shared" si="140"/>
        <v>0</v>
      </c>
      <c r="J439" s="15"/>
      <c r="K439" s="15">
        <f t="shared" si="141"/>
        <v>0</v>
      </c>
      <c r="L439" s="15"/>
      <c r="M439" s="15">
        <f t="shared" si="145"/>
        <v>0</v>
      </c>
      <c r="N439" s="15"/>
      <c r="O439" s="15">
        <f t="shared" si="124"/>
        <v>0</v>
      </c>
      <c r="P439" s="15"/>
      <c r="Q439" s="15">
        <f t="shared" si="146"/>
        <v>0</v>
      </c>
      <c r="R439" s="15">
        <v>1</v>
      </c>
      <c r="S439" s="15">
        <f t="shared" si="135"/>
        <v>4889</v>
      </c>
      <c r="T439" s="15">
        <v>1.5</v>
      </c>
      <c r="U439" s="15">
        <f t="shared" si="136"/>
        <v>7333.5</v>
      </c>
      <c r="V439" s="15">
        <f t="shared" si="148"/>
        <v>12222.5</v>
      </c>
      <c r="W439" s="17"/>
      <c r="X439" s="17"/>
      <c r="Y439" s="18">
        <v>0.01</v>
      </c>
      <c r="Z439" s="21">
        <f t="shared" si="143"/>
        <v>480</v>
      </c>
      <c r="AA439" s="21">
        <v>1</v>
      </c>
      <c r="AB439" s="1">
        <f t="shared" si="147"/>
        <v>4889</v>
      </c>
      <c r="AC439" s="21"/>
      <c r="AE439" s="19"/>
      <c r="AF439" s="20">
        <f>SUMIF('[1]G-Chart'!G:G,[1]Capacity!D439,'[1]G-Chart'!L:L)</f>
        <v>3289</v>
      </c>
      <c r="AG439" s="2">
        <f t="shared" si="127"/>
        <v>0</v>
      </c>
      <c r="AH439" s="2">
        <f t="shared" si="128"/>
        <v>0</v>
      </c>
      <c r="AI439" s="2">
        <f t="shared" si="138"/>
        <v>0</v>
      </c>
      <c r="AJ439" s="1">
        <f t="shared" si="129"/>
        <v>0</v>
      </c>
      <c r="AK439" s="1">
        <f t="shared" si="130"/>
        <v>3289</v>
      </c>
      <c r="AL439" s="1">
        <f t="shared" si="131"/>
        <v>4933.5</v>
      </c>
      <c r="AM439" s="1">
        <f t="shared" si="139"/>
        <v>8222.5</v>
      </c>
    </row>
    <row r="440" spans="1:39" x14ac:dyDescent="0.3">
      <c r="A440" s="12">
        <v>438</v>
      </c>
      <c r="B440" s="58" t="s">
        <v>985</v>
      </c>
      <c r="C440" s="59" t="s">
        <v>1033</v>
      </c>
      <c r="D440" s="59" t="s">
        <v>1033</v>
      </c>
      <c r="E440" s="59" t="s">
        <v>1034</v>
      </c>
      <c r="F440" s="15">
        <f t="shared" si="142"/>
        <v>4889</v>
      </c>
      <c r="G440" s="16">
        <f t="shared" si="132"/>
        <v>2.5</v>
      </c>
      <c r="H440" s="15"/>
      <c r="I440" s="15">
        <f t="shared" si="140"/>
        <v>0</v>
      </c>
      <c r="J440" s="15"/>
      <c r="K440" s="15">
        <f t="shared" si="141"/>
        <v>0</v>
      </c>
      <c r="L440" s="15"/>
      <c r="M440" s="15">
        <f t="shared" si="145"/>
        <v>0</v>
      </c>
      <c r="N440" s="15"/>
      <c r="O440" s="15">
        <f t="shared" si="124"/>
        <v>0</v>
      </c>
      <c r="P440" s="15"/>
      <c r="Q440" s="15">
        <f t="shared" si="146"/>
        <v>0</v>
      </c>
      <c r="R440" s="15">
        <v>1</v>
      </c>
      <c r="S440" s="15">
        <f t="shared" si="135"/>
        <v>4889</v>
      </c>
      <c r="T440" s="15">
        <v>1.5</v>
      </c>
      <c r="U440" s="15">
        <f t="shared" si="136"/>
        <v>7333.5</v>
      </c>
      <c r="V440" s="15">
        <f t="shared" si="148"/>
        <v>12222.5</v>
      </c>
      <c r="W440" s="17"/>
      <c r="X440" s="17"/>
      <c r="Y440" s="18">
        <v>0.01</v>
      </c>
      <c r="Z440" s="21">
        <f t="shared" si="143"/>
        <v>480</v>
      </c>
      <c r="AA440" s="21">
        <v>1</v>
      </c>
      <c r="AB440" s="1">
        <f t="shared" si="147"/>
        <v>4889</v>
      </c>
      <c r="AC440" s="21"/>
      <c r="AE440" s="19"/>
      <c r="AF440" s="20">
        <f>SUMIF('[1]G-Chart'!G:G,[1]Capacity!D440,'[1]G-Chart'!L:L)</f>
        <v>2327</v>
      </c>
      <c r="AG440" s="2">
        <f t="shared" si="127"/>
        <v>0</v>
      </c>
      <c r="AH440" s="2">
        <f t="shared" si="128"/>
        <v>0</v>
      </c>
      <c r="AI440" s="2">
        <f t="shared" si="138"/>
        <v>0</v>
      </c>
      <c r="AJ440" s="1">
        <f t="shared" si="129"/>
        <v>0</v>
      </c>
      <c r="AK440" s="1">
        <f t="shared" si="130"/>
        <v>2327</v>
      </c>
      <c r="AL440" s="1">
        <f t="shared" si="131"/>
        <v>3490.5</v>
      </c>
      <c r="AM440" s="1">
        <f t="shared" si="139"/>
        <v>5817.5</v>
      </c>
    </row>
    <row r="441" spans="1:39" x14ac:dyDescent="0.3">
      <c r="A441" s="12">
        <v>439</v>
      </c>
      <c r="B441" s="58" t="s">
        <v>985</v>
      </c>
      <c r="C441" s="59" t="s">
        <v>1035</v>
      </c>
      <c r="D441" s="59" t="s">
        <v>1035</v>
      </c>
      <c r="E441" s="59" t="s">
        <v>1036</v>
      </c>
      <c r="F441" s="15">
        <f t="shared" si="142"/>
        <v>0</v>
      </c>
      <c r="G441" s="16">
        <f t="shared" si="132"/>
        <v>3</v>
      </c>
      <c r="H441" s="15"/>
      <c r="I441" s="15">
        <f t="shared" si="140"/>
        <v>0</v>
      </c>
      <c r="J441" s="15"/>
      <c r="K441" s="15">
        <f t="shared" si="141"/>
        <v>0</v>
      </c>
      <c r="L441" s="15"/>
      <c r="M441" s="15">
        <f t="shared" si="145"/>
        <v>0</v>
      </c>
      <c r="N441" s="15"/>
      <c r="O441" s="15">
        <f t="shared" si="124"/>
        <v>0</v>
      </c>
      <c r="P441" s="15"/>
      <c r="Q441" s="15">
        <f t="shared" si="146"/>
        <v>0</v>
      </c>
      <c r="R441" s="15">
        <v>2</v>
      </c>
      <c r="S441" s="15">
        <f t="shared" si="135"/>
        <v>0</v>
      </c>
      <c r="T441" s="15">
        <v>1</v>
      </c>
      <c r="U441" s="15">
        <f t="shared" si="136"/>
        <v>0</v>
      </c>
      <c r="V441" s="15">
        <f t="shared" si="148"/>
        <v>0</v>
      </c>
      <c r="W441" s="17"/>
      <c r="X441" s="17"/>
      <c r="Y441" s="18">
        <v>6.7000000000000004E-2</v>
      </c>
      <c r="Z441" s="21">
        <f t="shared" si="143"/>
        <v>0</v>
      </c>
      <c r="AA441" s="60"/>
      <c r="AB441" s="1">
        <f t="shared" si="144"/>
        <v>0</v>
      </c>
      <c r="AC441" s="21"/>
      <c r="AE441" s="19"/>
      <c r="AF441" s="20">
        <f>SUMIF('[1]G-Chart'!G:G,[1]Capacity!D441,'[1]G-Chart'!L:L)</f>
        <v>-28538</v>
      </c>
      <c r="AG441" s="2">
        <f t="shared" si="127"/>
        <v>0</v>
      </c>
      <c r="AH441" s="2">
        <f t="shared" si="128"/>
        <v>0</v>
      </c>
      <c r="AI441" s="2">
        <f t="shared" si="138"/>
        <v>0</v>
      </c>
      <c r="AJ441" s="1">
        <f t="shared" si="129"/>
        <v>0</v>
      </c>
      <c r="AK441" s="1">
        <v>0</v>
      </c>
      <c r="AL441" s="1">
        <v>0</v>
      </c>
      <c r="AM441" s="1">
        <v>0</v>
      </c>
    </row>
    <row r="442" spans="1:39" x14ac:dyDescent="0.3">
      <c r="A442" s="12">
        <v>440</v>
      </c>
      <c r="B442" s="58" t="s">
        <v>985</v>
      </c>
      <c r="C442" s="59" t="s">
        <v>1037</v>
      </c>
      <c r="D442" s="59" t="s">
        <v>1037</v>
      </c>
      <c r="E442" s="59" t="s">
        <v>1038</v>
      </c>
      <c r="F442" s="15">
        <f t="shared" si="142"/>
        <v>0</v>
      </c>
      <c r="G442" s="16">
        <f t="shared" si="132"/>
        <v>3</v>
      </c>
      <c r="H442" s="15"/>
      <c r="I442" s="15">
        <f t="shared" si="140"/>
        <v>0</v>
      </c>
      <c r="J442" s="15"/>
      <c r="K442" s="15">
        <f t="shared" si="141"/>
        <v>0</v>
      </c>
      <c r="L442" s="15"/>
      <c r="M442" s="15">
        <f t="shared" si="145"/>
        <v>0</v>
      </c>
      <c r="N442" s="15"/>
      <c r="O442" s="15">
        <f t="shared" si="124"/>
        <v>0</v>
      </c>
      <c r="P442" s="15"/>
      <c r="Q442" s="15">
        <f t="shared" si="146"/>
        <v>0</v>
      </c>
      <c r="R442" s="15">
        <v>2</v>
      </c>
      <c r="S442" s="15">
        <f t="shared" si="135"/>
        <v>0</v>
      </c>
      <c r="T442" s="15">
        <v>1</v>
      </c>
      <c r="U442" s="15">
        <f t="shared" si="136"/>
        <v>0</v>
      </c>
      <c r="V442" s="15">
        <f t="shared" si="148"/>
        <v>0</v>
      </c>
      <c r="W442" s="17"/>
      <c r="X442" s="17"/>
      <c r="Y442" s="18">
        <v>8.7999999999999995E-2</v>
      </c>
      <c r="Z442" s="21">
        <f t="shared" si="143"/>
        <v>0</v>
      </c>
      <c r="AA442" s="60"/>
      <c r="AB442" s="1">
        <f t="shared" si="144"/>
        <v>0</v>
      </c>
      <c r="AC442" s="21"/>
      <c r="AE442" s="19"/>
      <c r="AF442" s="20">
        <f>SUMIF('[1]G-Chart'!G:G,[1]Capacity!D442,'[1]G-Chart'!L:L)</f>
        <v>-28538</v>
      </c>
      <c r="AG442" s="2">
        <f t="shared" si="127"/>
        <v>0</v>
      </c>
      <c r="AH442" s="2">
        <f t="shared" si="128"/>
        <v>0</v>
      </c>
      <c r="AI442" s="2">
        <f t="shared" si="138"/>
        <v>0</v>
      </c>
      <c r="AJ442" s="1">
        <f t="shared" si="129"/>
        <v>0</v>
      </c>
      <c r="AK442" s="1">
        <v>0</v>
      </c>
      <c r="AL442" s="1">
        <v>0</v>
      </c>
      <c r="AM442" s="1">
        <v>0</v>
      </c>
    </row>
    <row r="443" spans="1:39" x14ac:dyDescent="0.3">
      <c r="A443" s="12">
        <v>441</v>
      </c>
      <c r="B443" s="58" t="s">
        <v>985</v>
      </c>
      <c r="C443" s="59" t="s">
        <v>1039</v>
      </c>
      <c r="D443" s="59" t="s">
        <v>1039</v>
      </c>
      <c r="E443" s="59" t="s">
        <v>1040</v>
      </c>
      <c r="F443" s="15">
        <f t="shared" si="142"/>
        <v>48000</v>
      </c>
      <c r="G443" s="16">
        <f t="shared" si="132"/>
        <v>3</v>
      </c>
      <c r="H443" s="15">
        <v>1</v>
      </c>
      <c r="I443" s="15">
        <f>H443*F443</f>
        <v>48000</v>
      </c>
      <c r="J443" s="15"/>
      <c r="K443" s="15">
        <f t="shared" si="141"/>
        <v>0</v>
      </c>
      <c r="L443" s="15"/>
      <c r="M443" s="15">
        <f t="shared" si="145"/>
        <v>0</v>
      </c>
      <c r="N443" s="15"/>
      <c r="O443" s="15">
        <f t="shared" si="124"/>
        <v>0</v>
      </c>
      <c r="P443" s="15"/>
      <c r="Q443" s="15">
        <f t="shared" si="146"/>
        <v>0</v>
      </c>
      <c r="R443" s="15"/>
      <c r="S443" s="15">
        <f t="shared" si="135"/>
        <v>0</v>
      </c>
      <c r="T443" s="15">
        <v>2</v>
      </c>
      <c r="U443" s="15">
        <f t="shared" si="136"/>
        <v>96000</v>
      </c>
      <c r="V443" s="15">
        <f t="shared" si="148"/>
        <v>144000</v>
      </c>
      <c r="W443" s="17"/>
      <c r="X443" s="17"/>
      <c r="Y443" s="18">
        <v>0.224</v>
      </c>
      <c r="Z443" s="21">
        <f t="shared" si="143"/>
        <v>1920</v>
      </c>
      <c r="AA443" s="60">
        <v>4</v>
      </c>
      <c r="AB443" s="1">
        <f t="shared" si="144"/>
        <v>48000</v>
      </c>
      <c r="AC443" s="21"/>
      <c r="AE443" s="19"/>
      <c r="AF443" s="20">
        <f>SUMIF('[1]G-Chart'!G:G,[1]Capacity!D443,'[1]G-Chart'!L:L)</f>
        <v>7395</v>
      </c>
      <c r="AG443" s="2">
        <f t="shared" si="127"/>
        <v>0</v>
      </c>
      <c r="AH443" s="2">
        <f t="shared" si="128"/>
        <v>0</v>
      </c>
      <c r="AI443" s="2">
        <f t="shared" si="138"/>
        <v>0</v>
      </c>
      <c r="AJ443" s="1">
        <f t="shared" si="129"/>
        <v>0</v>
      </c>
      <c r="AK443" s="1">
        <f t="shared" si="130"/>
        <v>0</v>
      </c>
      <c r="AL443" s="1">
        <f t="shared" si="131"/>
        <v>14790</v>
      </c>
      <c r="AM443" s="1">
        <f t="shared" si="139"/>
        <v>22185</v>
      </c>
    </row>
    <row r="444" spans="1:39" x14ac:dyDescent="0.3">
      <c r="A444" s="12">
        <v>442</v>
      </c>
      <c r="B444" s="58" t="s">
        <v>985</v>
      </c>
      <c r="C444" s="59" t="s">
        <v>1041</v>
      </c>
      <c r="D444" s="59" t="s">
        <v>1041</v>
      </c>
      <c r="E444" s="59" t="s">
        <v>1042</v>
      </c>
      <c r="F444" s="15">
        <f t="shared" si="142"/>
        <v>24000</v>
      </c>
      <c r="G444" s="16">
        <f t="shared" si="132"/>
        <v>1</v>
      </c>
      <c r="H444" s="15">
        <v>1</v>
      </c>
      <c r="I444" s="15">
        <f t="shared" si="140"/>
        <v>24000</v>
      </c>
      <c r="J444" s="15"/>
      <c r="K444" s="15">
        <f t="shared" si="141"/>
        <v>0</v>
      </c>
      <c r="L444" s="15"/>
      <c r="M444" s="15">
        <f t="shared" si="145"/>
        <v>0</v>
      </c>
      <c r="N444" s="15"/>
      <c r="O444" s="15">
        <f t="shared" si="124"/>
        <v>0</v>
      </c>
      <c r="P444" s="15"/>
      <c r="Q444" s="15">
        <f t="shared" si="146"/>
        <v>0</v>
      </c>
      <c r="R444" s="15"/>
      <c r="S444" s="15">
        <f t="shared" si="135"/>
        <v>0</v>
      </c>
      <c r="T444" s="15"/>
      <c r="U444" s="15">
        <f t="shared" si="136"/>
        <v>0</v>
      </c>
      <c r="V444" s="15">
        <f t="shared" si="148"/>
        <v>24000</v>
      </c>
      <c r="W444" s="17"/>
      <c r="X444" s="17"/>
      <c r="Y444" s="18">
        <v>0.01</v>
      </c>
      <c r="Z444" s="21">
        <f t="shared" si="143"/>
        <v>960</v>
      </c>
      <c r="AA444" s="60">
        <v>2</v>
      </c>
      <c r="AB444" s="1">
        <f t="shared" si="144"/>
        <v>24000</v>
      </c>
      <c r="AC444" s="21"/>
      <c r="AE444" s="19"/>
      <c r="AF444" s="20">
        <f>SUMIF('[1]G-Chart'!G:G,[1]Capacity!D444,'[1]G-Chart'!L:L)</f>
        <v>1165</v>
      </c>
      <c r="AG444" s="2">
        <f t="shared" si="127"/>
        <v>0</v>
      </c>
      <c r="AH444" s="2">
        <f t="shared" si="128"/>
        <v>0</v>
      </c>
      <c r="AI444" s="2">
        <f t="shared" si="138"/>
        <v>0</v>
      </c>
      <c r="AJ444" s="1">
        <f t="shared" si="129"/>
        <v>0</v>
      </c>
      <c r="AK444" s="1">
        <f t="shared" si="130"/>
        <v>0</v>
      </c>
      <c r="AL444" s="1">
        <f t="shared" si="131"/>
        <v>0</v>
      </c>
      <c r="AM444" s="1">
        <f t="shared" si="139"/>
        <v>1165</v>
      </c>
    </row>
    <row r="445" spans="1:39" x14ac:dyDescent="0.3">
      <c r="A445" s="12">
        <v>443</v>
      </c>
      <c r="B445" s="58" t="s">
        <v>985</v>
      </c>
      <c r="C445" s="59" t="s">
        <v>1043</v>
      </c>
      <c r="D445" s="63" t="s">
        <v>1043</v>
      </c>
      <c r="E445" s="59" t="s">
        <v>1044</v>
      </c>
      <c r="F445" s="15">
        <f t="shared" si="142"/>
        <v>0</v>
      </c>
      <c r="G445" s="16">
        <f t="shared" si="132"/>
        <v>4</v>
      </c>
      <c r="H445" s="15"/>
      <c r="I445" s="15">
        <f t="shared" si="140"/>
        <v>0</v>
      </c>
      <c r="J445" s="15">
        <v>1</v>
      </c>
      <c r="K445" s="15">
        <f t="shared" si="141"/>
        <v>0</v>
      </c>
      <c r="L445" s="15">
        <v>2</v>
      </c>
      <c r="M445" s="15">
        <f t="shared" si="145"/>
        <v>0</v>
      </c>
      <c r="N445" s="15">
        <v>1</v>
      </c>
      <c r="O445" s="15">
        <f t="shared" si="124"/>
        <v>0</v>
      </c>
      <c r="P445" s="15"/>
      <c r="Q445" s="15">
        <f t="shared" si="146"/>
        <v>0</v>
      </c>
      <c r="R445" s="15"/>
      <c r="S445" s="15">
        <f t="shared" si="135"/>
        <v>0</v>
      </c>
      <c r="T445" s="15"/>
      <c r="U445" s="15">
        <f t="shared" si="136"/>
        <v>0</v>
      </c>
      <c r="V445" s="15">
        <f>F445*G445</f>
        <v>0</v>
      </c>
      <c r="W445" s="17"/>
      <c r="X445" s="17"/>
      <c r="Y445" s="18">
        <v>0.312</v>
      </c>
      <c r="Z445" s="21">
        <f t="shared" si="143"/>
        <v>1920</v>
      </c>
      <c r="AA445" s="60">
        <v>4</v>
      </c>
      <c r="AB445" s="1">
        <v>0</v>
      </c>
      <c r="AC445" s="21">
        <f>27695*4</f>
        <v>110780</v>
      </c>
      <c r="AE445" s="19"/>
      <c r="AF445" s="20">
        <f>SUMIF('[1]G-Chart'!G:G,[1]Capacity!D445,'[1]G-Chart'!L:L)</f>
        <v>-106116</v>
      </c>
      <c r="AG445" s="2">
        <v>0</v>
      </c>
      <c r="AH445" s="2">
        <v>0</v>
      </c>
      <c r="AI445" s="2">
        <v>0</v>
      </c>
      <c r="AJ445" s="1">
        <f t="shared" si="129"/>
        <v>0</v>
      </c>
      <c r="AK445" s="1">
        <f t="shared" si="130"/>
        <v>0</v>
      </c>
      <c r="AL445" s="1">
        <f t="shared" si="131"/>
        <v>0</v>
      </c>
      <c r="AM445" s="1">
        <f t="shared" si="139"/>
        <v>-424464</v>
      </c>
    </row>
    <row r="446" spans="1:39" x14ac:dyDescent="0.3">
      <c r="A446" s="12">
        <v>444</v>
      </c>
      <c r="B446" s="58" t="s">
        <v>985</v>
      </c>
      <c r="C446" s="59" t="s">
        <v>1045</v>
      </c>
      <c r="D446" s="59" t="s">
        <v>1045</v>
      </c>
      <c r="E446" s="59" t="s">
        <v>1046</v>
      </c>
      <c r="F446" s="15">
        <f t="shared" si="142"/>
        <v>48000</v>
      </c>
      <c r="G446" s="16">
        <f t="shared" si="132"/>
        <v>4</v>
      </c>
      <c r="H446" s="15">
        <v>1</v>
      </c>
      <c r="I446" s="15">
        <f t="shared" si="140"/>
        <v>48000</v>
      </c>
      <c r="J446" s="15"/>
      <c r="K446" s="15">
        <f t="shared" si="141"/>
        <v>0</v>
      </c>
      <c r="L446" s="15"/>
      <c r="M446" s="15">
        <f t="shared" si="145"/>
        <v>0</v>
      </c>
      <c r="N446" s="15">
        <v>1</v>
      </c>
      <c r="O446" s="15">
        <f t="shared" si="124"/>
        <v>48000</v>
      </c>
      <c r="P446" s="15">
        <v>2</v>
      </c>
      <c r="Q446" s="15">
        <f t="shared" si="146"/>
        <v>96000</v>
      </c>
      <c r="R446" s="15"/>
      <c r="S446" s="15">
        <f t="shared" si="135"/>
        <v>0</v>
      </c>
      <c r="T446" s="15"/>
      <c r="U446" s="15">
        <f t="shared" si="136"/>
        <v>0</v>
      </c>
      <c r="V446" s="15">
        <f t="shared" si="148"/>
        <v>192000</v>
      </c>
      <c r="W446" s="17"/>
      <c r="X446" s="17"/>
      <c r="Y446" s="18">
        <v>0.20899999999999999</v>
      </c>
      <c r="Z446" s="21">
        <f t="shared" si="143"/>
        <v>1920</v>
      </c>
      <c r="AA446" s="60">
        <v>4</v>
      </c>
      <c r="AB446" s="1">
        <f t="shared" si="144"/>
        <v>48000</v>
      </c>
      <c r="AC446" s="21">
        <f>28377*4</f>
        <v>113508</v>
      </c>
      <c r="AE446" s="19"/>
      <c r="AF446" s="20">
        <f>SUMIF('[1]G-Chart'!G:G,[1]Capacity!D446,'[1]G-Chart'!L:L)</f>
        <v>3887</v>
      </c>
      <c r="AG446" s="2">
        <f t="shared" si="127"/>
        <v>0</v>
      </c>
      <c r="AH446" s="2">
        <f t="shared" si="128"/>
        <v>0</v>
      </c>
      <c r="AI446" s="2">
        <f t="shared" si="138"/>
        <v>3887</v>
      </c>
      <c r="AJ446" s="1">
        <f t="shared" si="129"/>
        <v>7774</v>
      </c>
      <c r="AK446" s="1">
        <f t="shared" si="130"/>
        <v>0</v>
      </c>
      <c r="AL446" s="1">
        <f t="shared" si="131"/>
        <v>0</v>
      </c>
      <c r="AM446" s="1">
        <f t="shared" si="139"/>
        <v>15548</v>
      </c>
    </row>
    <row r="447" spans="1:39" x14ac:dyDescent="0.3">
      <c r="A447" s="12">
        <v>445</v>
      </c>
      <c r="B447" s="58" t="s">
        <v>985</v>
      </c>
      <c r="C447" s="59" t="s">
        <v>1047</v>
      </c>
      <c r="D447" s="59" t="s">
        <v>1047</v>
      </c>
      <c r="E447" s="59" t="s">
        <v>1048</v>
      </c>
      <c r="F447" s="15">
        <f t="shared" si="142"/>
        <v>0</v>
      </c>
      <c r="G447" s="16">
        <f t="shared" si="132"/>
        <v>1</v>
      </c>
      <c r="H447" s="15"/>
      <c r="I447" s="15">
        <f t="shared" si="140"/>
        <v>0</v>
      </c>
      <c r="J447" s="15"/>
      <c r="K447" s="15">
        <f t="shared" si="141"/>
        <v>0</v>
      </c>
      <c r="L447" s="15">
        <v>1</v>
      </c>
      <c r="M447" s="15">
        <f t="shared" si="145"/>
        <v>0</v>
      </c>
      <c r="N447" s="15"/>
      <c r="O447" s="15">
        <f t="shared" ref="O447:O490" si="149">N447*F447</f>
        <v>0</v>
      </c>
      <c r="P447" s="15"/>
      <c r="Q447" s="15">
        <f t="shared" si="146"/>
        <v>0</v>
      </c>
      <c r="R447" s="15"/>
      <c r="S447" s="15">
        <f t="shared" si="135"/>
        <v>0</v>
      </c>
      <c r="T447" s="15"/>
      <c r="U447" s="15">
        <f t="shared" si="136"/>
        <v>0</v>
      </c>
      <c r="V447" s="15">
        <f t="shared" si="148"/>
        <v>0</v>
      </c>
      <c r="W447" s="17"/>
      <c r="X447" s="17"/>
      <c r="Y447" s="18">
        <v>1.06</v>
      </c>
      <c r="Z447" s="21">
        <f t="shared" si="143"/>
        <v>480</v>
      </c>
      <c r="AA447" s="60">
        <v>1</v>
      </c>
      <c r="AB447" s="1">
        <v>0</v>
      </c>
      <c r="AC447" s="21"/>
      <c r="AE447" s="19"/>
      <c r="AF447" s="20">
        <f>SUMIF('[1]G-Chart'!G:G,[1]Capacity!D447,'[1]G-Chart'!L:L)</f>
        <v>-26529</v>
      </c>
      <c r="AG447" s="2">
        <f t="shared" si="127"/>
        <v>0</v>
      </c>
      <c r="AH447" s="2">
        <v>0</v>
      </c>
      <c r="AI447" s="2">
        <f t="shared" si="138"/>
        <v>0</v>
      </c>
      <c r="AJ447" s="1">
        <f t="shared" si="129"/>
        <v>0</v>
      </c>
      <c r="AK447" s="1">
        <f t="shared" si="130"/>
        <v>0</v>
      </c>
      <c r="AL447" s="1">
        <f t="shared" si="131"/>
        <v>0</v>
      </c>
      <c r="AM447" s="1">
        <f t="shared" si="139"/>
        <v>-26529</v>
      </c>
    </row>
    <row r="448" spans="1:39" x14ac:dyDescent="0.3">
      <c r="A448" s="12">
        <v>446</v>
      </c>
      <c r="B448" s="58" t="s">
        <v>985</v>
      </c>
      <c r="C448" s="59" t="s">
        <v>1049</v>
      </c>
      <c r="D448" s="59" t="s">
        <v>1049</v>
      </c>
      <c r="E448" s="59" t="s">
        <v>1050</v>
      </c>
      <c r="F448" s="15">
        <f t="shared" si="142"/>
        <v>48000</v>
      </c>
      <c r="G448" s="16">
        <f t="shared" si="132"/>
        <v>3</v>
      </c>
      <c r="H448" s="15">
        <v>1</v>
      </c>
      <c r="I448" s="15">
        <f t="shared" si="140"/>
        <v>48000</v>
      </c>
      <c r="J448" s="15"/>
      <c r="K448" s="15">
        <f t="shared" si="141"/>
        <v>0</v>
      </c>
      <c r="L448" s="15"/>
      <c r="M448" s="15">
        <f t="shared" si="145"/>
        <v>0</v>
      </c>
      <c r="N448" s="15"/>
      <c r="O448" s="15">
        <f t="shared" si="149"/>
        <v>0</v>
      </c>
      <c r="P448" s="15"/>
      <c r="Q448" s="15">
        <f t="shared" si="146"/>
        <v>0</v>
      </c>
      <c r="R448" s="15">
        <v>1</v>
      </c>
      <c r="S448" s="15">
        <f t="shared" si="135"/>
        <v>48000</v>
      </c>
      <c r="T448" s="15">
        <v>1</v>
      </c>
      <c r="U448" s="15">
        <f t="shared" si="136"/>
        <v>48000</v>
      </c>
      <c r="V448" s="15">
        <f t="shared" si="148"/>
        <v>144000</v>
      </c>
      <c r="W448" s="17"/>
      <c r="X448" s="17"/>
      <c r="Y448" s="18">
        <v>0.11899999999999999</v>
      </c>
      <c r="Z448" s="21">
        <f t="shared" si="143"/>
        <v>1920</v>
      </c>
      <c r="AA448" s="60">
        <v>4</v>
      </c>
      <c r="AB448" s="1">
        <f t="shared" si="144"/>
        <v>48000</v>
      </c>
      <c r="AC448" s="21">
        <f>23493*2</f>
        <v>46986</v>
      </c>
      <c r="AE448" s="19"/>
      <c r="AF448" s="20">
        <f>SUMIF('[1]G-Chart'!G:G,[1]Capacity!D448,'[1]G-Chart'!L:L)</f>
        <v>5930</v>
      </c>
      <c r="AG448" s="2">
        <f t="shared" si="127"/>
        <v>0</v>
      </c>
      <c r="AH448" s="2">
        <f t="shared" si="128"/>
        <v>0</v>
      </c>
      <c r="AI448" s="2">
        <f t="shared" si="138"/>
        <v>0</v>
      </c>
      <c r="AJ448" s="1">
        <f t="shared" si="129"/>
        <v>0</v>
      </c>
      <c r="AK448" s="1">
        <f t="shared" si="130"/>
        <v>5930</v>
      </c>
      <c r="AL448" s="1">
        <f t="shared" si="131"/>
        <v>5930</v>
      </c>
      <c r="AM448" s="1">
        <f t="shared" si="139"/>
        <v>17790</v>
      </c>
    </row>
    <row r="449" spans="1:39" x14ac:dyDescent="0.3">
      <c r="A449" s="12">
        <v>447</v>
      </c>
      <c r="B449" s="58" t="s">
        <v>985</v>
      </c>
      <c r="C449" s="59" t="s">
        <v>1051</v>
      </c>
      <c r="D449" s="59" t="s">
        <v>1051</v>
      </c>
      <c r="E449" s="59" t="s">
        <v>1052</v>
      </c>
      <c r="F449" s="15">
        <f t="shared" si="142"/>
        <v>12000</v>
      </c>
      <c r="G449" s="16">
        <f t="shared" si="132"/>
        <v>3</v>
      </c>
      <c r="H449" s="15"/>
      <c r="I449" s="15">
        <f t="shared" si="140"/>
        <v>0</v>
      </c>
      <c r="J449" s="15">
        <v>2</v>
      </c>
      <c r="K449" s="15">
        <f>F449*J449</f>
        <v>24000</v>
      </c>
      <c r="L449" s="15">
        <v>1</v>
      </c>
      <c r="M449" s="15">
        <f>L449*F449</f>
        <v>12000</v>
      </c>
      <c r="N449" s="15"/>
      <c r="O449" s="15">
        <f t="shared" si="149"/>
        <v>0</v>
      </c>
      <c r="P449" s="15"/>
      <c r="Q449" s="15">
        <f t="shared" si="146"/>
        <v>0</v>
      </c>
      <c r="R449" s="15"/>
      <c r="S449" s="15">
        <f t="shared" si="135"/>
        <v>0</v>
      </c>
      <c r="T449" s="15"/>
      <c r="U449" s="15">
        <f t="shared" si="136"/>
        <v>0</v>
      </c>
      <c r="V449" s="15">
        <f t="shared" si="148"/>
        <v>36000</v>
      </c>
      <c r="W449" s="17"/>
      <c r="X449" s="17"/>
      <c r="Y449" s="18">
        <v>9.7000000000000003E-2</v>
      </c>
      <c r="Z449" s="21">
        <f t="shared" si="143"/>
        <v>480</v>
      </c>
      <c r="AA449" s="60">
        <v>1</v>
      </c>
      <c r="AB449" s="1">
        <f t="shared" si="144"/>
        <v>12000</v>
      </c>
      <c r="AC449" s="21"/>
      <c r="AE449" s="19"/>
      <c r="AF449" s="20">
        <f>SUMIF('[1]G-Chart'!G:G,[1]Capacity!D449,'[1]G-Chart'!L:L)</f>
        <v>1125</v>
      </c>
      <c r="AG449" s="2">
        <f t="shared" si="127"/>
        <v>2250</v>
      </c>
      <c r="AH449" s="2">
        <f t="shared" si="128"/>
        <v>1125</v>
      </c>
      <c r="AI449" s="2">
        <f t="shared" si="138"/>
        <v>0</v>
      </c>
      <c r="AJ449" s="1">
        <f t="shared" si="129"/>
        <v>0</v>
      </c>
      <c r="AK449" s="1">
        <f t="shared" si="130"/>
        <v>0</v>
      </c>
      <c r="AL449" s="1">
        <f t="shared" si="131"/>
        <v>0</v>
      </c>
      <c r="AM449" s="1">
        <f t="shared" si="139"/>
        <v>3375</v>
      </c>
    </row>
    <row r="450" spans="1:39" x14ac:dyDescent="0.3">
      <c r="A450" s="12">
        <v>448</v>
      </c>
      <c r="B450" s="58" t="s">
        <v>985</v>
      </c>
      <c r="C450" s="59" t="s">
        <v>1053</v>
      </c>
      <c r="D450" s="59" t="s">
        <v>1053</v>
      </c>
      <c r="E450" s="59" t="s">
        <v>1054</v>
      </c>
      <c r="F450" s="15">
        <f t="shared" si="142"/>
        <v>24000</v>
      </c>
      <c r="G450" s="16">
        <f t="shared" si="132"/>
        <v>3</v>
      </c>
      <c r="H450" s="15"/>
      <c r="I450" s="15">
        <f t="shared" si="140"/>
        <v>0</v>
      </c>
      <c r="J450" s="15"/>
      <c r="K450" s="15">
        <f t="shared" si="141"/>
        <v>0</v>
      </c>
      <c r="L450" s="15"/>
      <c r="M450" s="15">
        <f t="shared" si="145"/>
        <v>0</v>
      </c>
      <c r="N450" s="15">
        <v>1</v>
      </c>
      <c r="O450" s="15">
        <f t="shared" si="149"/>
        <v>24000</v>
      </c>
      <c r="P450" s="15"/>
      <c r="Q450" s="15">
        <f t="shared" si="146"/>
        <v>0</v>
      </c>
      <c r="R450" s="15">
        <v>2</v>
      </c>
      <c r="S450" s="15">
        <f t="shared" si="135"/>
        <v>48000</v>
      </c>
      <c r="T450" s="15"/>
      <c r="U450" s="15">
        <f t="shared" si="136"/>
        <v>0</v>
      </c>
      <c r="V450" s="15">
        <f t="shared" si="148"/>
        <v>72000</v>
      </c>
      <c r="W450" s="17"/>
      <c r="X450" s="17"/>
      <c r="Y450" s="18">
        <v>0.16500000000000001</v>
      </c>
      <c r="Z450" s="21">
        <f t="shared" si="143"/>
        <v>960</v>
      </c>
      <c r="AA450" s="60">
        <v>2</v>
      </c>
      <c r="AB450" s="1">
        <f t="shared" si="144"/>
        <v>24000</v>
      </c>
      <c r="AC450" s="21"/>
      <c r="AE450" s="19"/>
      <c r="AF450" s="20">
        <f>SUMIF('[1]G-Chart'!G:G,[1]Capacity!D450,'[1]G-Chart'!L:L)</f>
        <v>1332</v>
      </c>
      <c r="AG450" s="2">
        <f t="shared" si="127"/>
        <v>0</v>
      </c>
      <c r="AH450" s="2">
        <f t="shared" si="128"/>
        <v>0</v>
      </c>
      <c r="AI450" s="2">
        <f t="shared" si="138"/>
        <v>1332</v>
      </c>
      <c r="AJ450" s="1">
        <f t="shared" si="129"/>
        <v>0</v>
      </c>
      <c r="AK450" s="1">
        <f t="shared" si="130"/>
        <v>2664</v>
      </c>
      <c r="AL450" s="1">
        <f t="shared" si="131"/>
        <v>0</v>
      </c>
      <c r="AM450" s="1">
        <f t="shared" si="139"/>
        <v>3996</v>
      </c>
    </row>
    <row r="451" spans="1:39" x14ac:dyDescent="0.3">
      <c r="A451" s="12">
        <v>449</v>
      </c>
      <c r="B451" s="58" t="s">
        <v>985</v>
      </c>
      <c r="C451" s="59" t="s">
        <v>1055</v>
      </c>
      <c r="D451" s="59" t="s">
        <v>1055</v>
      </c>
      <c r="E451" s="59" t="s">
        <v>1056</v>
      </c>
      <c r="F451" s="15">
        <f t="shared" si="142"/>
        <v>0</v>
      </c>
      <c r="G451" s="16">
        <f t="shared" si="132"/>
        <v>1</v>
      </c>
      <c r="H451" s="15"/>
      <c r="I451" s="15">
        <f t="shared" si="140"/>
        <v>0</v>
      </c>
      <c r="J451" s="15"/>
      <c r="K451" s="15">
        <f t="shared" si="141"/>
        <v>0</v>
      </c>
      <c r="L451" s="15">
        <v>1</v>
      </c>
      <c r="M451" s="15">
        <f t="shared" si="145"/>
        <v>0</v>
      </c>
      <c r="N451" s="15"/>
      <c r="O451" s="15">
        <f t="shared" si="149"/>
        <v>0</v>
      </c>
      <c r="P451" s="15"/>
      <c r="Q451" s="15">
        <f t="shared" si="146"/>
        <v>0</v>
      </c>
      <c r="R451" s="15"/>
      <c r="S451" s="15">
        <f t="shared" si="135"/>
        <v>0</v>
      </c>
      <c r="T451" s="15"/>
      <c r="U451" s="15">
        <f t="shared" si="136"/>
        <v>0</v>
      </c>
      <c r="V451" s="15">
        <f t="shared" si="148"/>
        <v>0</v>
      </c>
      <c r="W451" s="17"/>
      <c r="X451" s="17"/>
      <c r="Y451" s="18">
        <v>0.105</v>
      </c>
      <c r="Z451" s="21">
        <f t="shared" si="143"/>
        <v>960</v>
      </c>
      <c r="AA451" s="60">
        <v>2</v>
      </c>
      <c r="AB451" s="1">
        <v>0</v>
      </c>
      <c r="AC451" s="21"/>
      <c r="AE451" s="19"/>
      <c r="AF451" s="20">
        <f>SUMIF('[1]G-Chart'!G:G,[1]Capacity!D451,'[1]G-Chart'!L:L)</f>
        <v>-53058</v>
      </c>
      <c r="AG451" s="2">
        <f t="shared" ref="AG451:AG463" si="150">AF451*J451</f>
        <v>0</v>
      </c>
      <c r="AH451" s="2">
        <v>0</v>
      </c>
      <c r="AI451" s="2">
        <f t="shared" si="138"/>
        <v>0</v>
      </c>
      <c r="AJ451" s="1">
        <f t="shared" ref="AJ451:AJ463" si="151">AF451*P451</f>
        <v>0</v>
      </c>
      <c r="AK451" s="1">
        <f t="shared" ref="AK451:AK463" si="152">AF451*R451</f>
        <v>0</v>
      </c>
      <c r="AL451" s="1">
        <f t="shared" ref="AL451:AL463" si="153">AF451*T451</f>
        <v>0</v>
      </c>
      <c r="AM451" s="1">
        <f t="shared" si="139"/>
        <v>-53058</v>
      </c>
    </row>
    <row r="452" spans="1:39" x14ac:dyDescent="0.3">
      <c r="A452" s="12">
        <v>450</v>
      </c>
      <c r="B452" s="58" t="s">
        <v>985</v>
      </c>
      <c r="C452" s="59" t="s">
        <v>1057</v>
      </c>
      <c r="D452" s="59" t="s">
        <v>1057</v>
      </c>
      <c r="E452" s="59" t="s">
        <v>1058</v>
      </c>
      <c r="F452" s="15">
        <f t="shared" si="142"/>
        <v>0</v>
      </c>
      <c r="G452" s="16">
        <f t="shared" ref="G452:G515" si="154">H452+J452+L452+N452+P452+R452+T452</f>
        <v>0</v>
      </c>
      <c r="H452" s="15"/>
      <c r="I452" s="15">
        <f t="shared" si="140"/>
        <v>0</v>
      </c>
      <c r="J452" s="15"/>
      <c r="K452" s="15">
        <f t="shared" si="141"/>
        <v>0</v>
      </c>
      <c r="L452" s="15"/>
      <c r="M452" s="15">
        <f t="shared" si="145"/>
        <v>0</v>
      </c>
      <c r="N452" s="15"/>
      <c r="O452" s="15">
        <f t="shared" si="149"/>
        <v>0</v>
      </c>
      <c r="P452" s="15"/>
      <c r="Q452" s="15">
        <f t="shared" si="146"/>
        <v>0</v>
      </c>
      <c r="R452" s="15"/>
      <c r="S452" s="15">
        <f t="shared" ref="S452:S490" si="155">R452*F452</f>
        <v>0</v>
      </c>
      <c r="T452" s="15"/>
      <c r="U452" s="15">
        <f t="shared" ref="U452:U490" si="156">T452*F452</f>
        <v>0</v>
      </c>
      <c r="V452" s="15">
        <f t="shared" si="148"/>
        <v>0</v>
      </c>
      <c r="W452" s="17"/>
      <c r="X452" s="17"/>
      <c r="Y452" s="18">
        <v>0.3</v>
      </c>
      <c r="Z452" s="21">
        <f t="shared" si="143"/>
        <v>480</v>
      </c>
      <c r="AA452" s="60">
        <v>1</v>
      </c>
      <c r="AB452" s="1">
        <v>0</v>
      </c>
      <c r="AC452" s="21"/>
      <c r="AE452" s="19"/>
      <c r="AF452" s="20">
        <f>SUMIF('[1]G-Chart'!G:G,[1]Capacity!D452,'[1]G-Chart'!L:L)</f>
        <v>-26529</v>
      </c>
      <c r="AG452" s="2">
        <f t="shared" si="150"/>
        <v>0</v>
      </c>
      <c r="AH452" s="2">
        <f t="shared" ref="AH452:AH464" si="157">AF452*L452</f>
        <v>0</v>
      </c>
      <c r="AI452" s="2">
        <f t="shared" ref="AI452:AI464" si="158">AF452*N452</f>
        <v>0</v>
      </c>
      <c r="AJ452" s="1">
        <f t="shared" si="151"/>
        <v>0</v>
      </c>
      <c r="AK452" s="1">
        <f t="shared" si="152"/>
        <v>0</v>
      </c>
      <c r="AL452" s="1">
        <f t="shared" si="153"/>
        <v>0</v>
      </c>
      <c r="AM452" s="1">
        <f t="shared" si="139"/>
        <v>0</v>
      </c>
    </row>
    <row r="453" spans="1:39" x14ac:dyDescent="0.3">
      <c r="A453" s="12">
        <v>451</v>
      </c>
      <c r="B453" s="58" t="s">
        <v>985</v>
      </c>
      <c r="C453" s="59" t="s">
        <v>1059</v>
      </c>
      <c r="D453" s="59" t="s">
        <v>1059</v>
      </c>
      <c r="E453" s="59" t="s">
        <v>1060</v>
      </c>
      <c r="F453" s="15">
        <f t="shared" si="142"/>
        <v>12000</v>
      </c>
      <c r="G453" s="16">
        <f t="shared" si="154"/>
        <v>2</v>
      </c>
      <c r="H453" s="15"/>
      <c r="I453" s="15">
        <f t="shared" si="140"/>
        <v>0</v>
      </c>
      <c r="J453" s="15"/>
      <c r="K453" s="15">
        <f t="shared" si="141"/>
        <v>0</v>
      </c>
      <c r="L453" s="15"/>
      <c r="M453" s="15">
        <f t="shared" si="145"/>
        <v>0</v>
      </c>
      <c r="N453" s="15"/>
      <c r="O453" s="15">
        <f t="shared" si="149"/>
        <v>0</v>
      </c>
      <c r="P453" s="15">
        <v>1</v>
      </c>
      <c r="Q453" s="15">
        <f t="shared" si="146"/>
        <v>12000</v>
      </c>
      <c r="R453" s="15">
        <v>1</v>
      </c>
      <c r="S453" s="15">
        <f t="shared" si="155"/>
        <v>12000</v>
      </c>
      <c r="T453" s="15"/>
      <c r="U453" s="15">
        <f t="shared" si="156"/>
        <v>0</v>
      </c>
      <c r="V453" s="15">
        <f t="shared" si="148"/>
        <v>24000</v>
      </c>
      <c r="W453" s="17"/>
      <c r="X453" s="17"/>
      <c r="Y453" s="18">
        <v>6.9000000000000006E-2</v>
      </c>
      <c r="Z453" s="21">
        <f t="shared" si="143"/>
        <v>480</v>
      </c>
      <c r="AA453" s="60">
        <v>1</v>
      </c>
      <c r="AB453" s="1">
        <f t="shared" si="144"/>
        <v>12000</v>
      </c>
      <c r="AC453" s="21"/>
      <c r="AE453" s="19"/>
      <c r="AF453" s="20">
        <f>SUMIF('[1]G-Chart'!G:G,[1]Capacity!D453,'[1]G-Chart'!L:L)</f>
        <v>191</v>
      </c>
      <c r="AG453" s="2">
        <f t="shared" si="150"/>
        <v>0</v>
      </c>
      <c r="AH453" s="2">
        <f t="shared" si="157"/>
        <v>0</v>
      </c>
      <c r="AI453" s="2">
        <f t="shared" si="158"/>
        <v>0</v>
      </c>
      <c r="AJ453" s="1">
        <f t="shared" si="151"/>
        <v>191</v>
      </c>
      <c r="AK453" s="1">
        <f t="shared" si="152"/>
        <v>191</v>
      </c>
      <c r="AL453" s="1">
        <f t="shared" si="153"/>
        <v>0</v>
      </c>
      <c r="AM453" s="1">
        <f t="shared" si="139"/>
        <v>382</v>
      </c>
    </row>
    <row r="454" spans="1:39" x14ac:dyDescent="0.3">
      <c r="A454" s="12">
        <v>452</v>
      </c>
      <c r="B454" s="58" t="s">
        <v>985</v>
      </c>
      <c r="C454" s="59" t="s">
        <v>1061</v>
      </c>
      <c r="D454" s="59" t="s">
        <v>1061</v>
      </c>
      <c r="E454" s="59" t="s">
        <v>1062</v>
      </c>
      <c r="F454" s="15">
        <f t="shared" si="142"/>
        <v>24000</v>
      </c>
      <c r="G454" s="16">
        <f t="shared" si="154"/>
        <v>1</v>
      </c>
      <c r="H454" s="15">
        <v>1</v>
      </c>
      <c r="I454" s="15">
        <f t="shared" si="140"/>
        <v>24000</v>
      </c>
      <c r="J454" s="15"/>
      <c r="K454" s="15">
        <f t="shared" si="141"/>
        <v>0</v>
      </c>
      <c r="L454" s="15"/>
      <c r="M454" s="15">
        <f t="shared" si="145"/>
        <v>0</v>
      </c>
      <c r="N454" s="15"/>
      <c r="O454" s="15">
        <f t="shared" si="149"/>
        <v>0</v>
      </c>
      <c r="P454" s="15"/>
      <c r="Q454" s="15">
        <f t="shared" si="146"/>
        <v>0</v>
      </c>
      <c r="R454" s="15"/>
      <c r="S454" s="15">
        <f t="shared" si="155"/>
        <v>0</v>
      </c>
      <c r="T454" s="15"/>
      <c r="U454" s="15">
        <f t="shared" si="156"/>
        <v>0</v>
      </c>
      <c r="V454" s="15">
        <v>0</v>
      </c>
      <c r="W454" s="17"/>
      <c r="X454" s="17"/>
      <c r="Y454" s="18">
        <v>1.0999999999999999E-2</v>
      </c>
      <c r="Z454" s="21">
        <f t="shared" si="143"/>
        <v>960</v>
      </c>
      <c r="AA454" s="60">
        <v>2</v>
      </c>
      <c r="AB454" s="1">
        <f t="shared" si="144"/>
        <v>24000</v>
      </c>
      <c r="AC454" s="21"/>
      <c r="AE454" s="19"/>
      <c r="AF454" s="20">
        <f>SUMIF('[1]G-Chart'!G:G,[1]Capacity!D454,'[1]G-Chart'!L:L)</f>
        <v>10400</v>
      </c>
      <c r="AG454" s="2">
        <f t="shared" si="150"/>
        <v>0</v>
      </c>
      <c r="AH454" s="2">
        <f t="shared" si="157"/>
        <v>0</v>
      </c>
      <c r="AI454" s="2">
        <f t="shared" si="158"/>
        <v>0</v>
      </c>
      <c r="AJ454" s="1">
        <f t="shared" si="151"/>
        <v>0</v>
      </c>
      <c r="AK454" s="1">
        <f t="shared" si="152"/>
        <v>0</v>
      </c>
      <c r="AL454" s="1">
        <f t="shared" si="153"/>
        <v>0</v>
      </c>
      <c r="AM454" s="1">
        <f t="shared" si="139"/>
        <v>10400</v>
      </c>
    </row>
    <row r="455" spans="1:39" x14ac:dyDescent="0.3">
      <c r="A455" s="12">
        <v>453</v>
      </c>
      <c r="B455" s="58" t="s">
        <v>985</v>
      </c>
      <c r="C455" s="59" t="s">
        <v>1063</v>
      </c>
      <c r="D455" s="63" t="s">
        <v>1063</v>
      </c>
      <c r="E455" s="59" t="s">
        <v>1064</v>
      </c>
      <c r="F455" s="15">
        <f t="shared" si="142"/>
        <v>0</v>
      </c>
      <c r="G455" s="16">
        <f t="shared" si="154"/>
        <v>1</v>
      </c>
      <c r="H455" s="15"/>
      <c r="I455" s="15">
        <f t="shared" si="140"/>
        <v>0</v>
      </c>
      <c r="J455" s="15">
        <v>1</v>
      </c>
      <c r="K455" s="15">
        <f t="shared" si="141"/>
        <v>0</v>
      </c>
      <c r="L455" s="15"/>
      <c r="M455" s="15">
        <f t="shared" si="145"/>
        <v>0</v>
      </c>
      <c r="N455" s="15"/>
      <c r="O455" s="15">
        <f t="shared" si="149"/>
        <v>0</v>
      </c>
      <c r="P455" s="15"/>
      <c r="Q455" s="15">
        <f t="shared" si="146"/>
        <v>0</v>
      </c>
      <c r="R455" s="15"/>
      <c r="S455" s="15">
        <f t="shared" si="155"/>
        <v>0</v>
      </c>
      <c r="T455" s="15"/>
      <c r="U455" s="15">
        <f t="shared" si="156"/>
        <v>0</v>
      </c>
      <c r="V455" s="15">
        <f t="shared" si="148"/>
        <v>0</v>
      </c>
      <c r="W455" s="17"/>
      <c r="X455" s="17"/>
      <c r="Y455" s="18">
        <v>8.6999999999999994E-2</v>
      </c>
      <c r="Z455" s="21">
        <f t="shared" si="143"/>
        <v>960</v>
      </c>
      <c r="AA455" s="60">
        <v>2</v>
      </c>
      <c r="AC455" s="21"/>
      <c r="AE455" s="19"/>
      <c r="AF455" s="20">
        <f>SUMIF('[1]G-Chart'!G:G,[1]Capacity!D455,'[1]G-Chart'!L:L)</f>
        <v>-53058</v>
      </c>
      <c r="AG455" s="2">
        <v>0</v>
      </c>
      <c r="AH455" s="2">
        <f t="shared" si="157"/>
        <v>0</v>
      </c>
      <c r="AI455" s="2">
        <f t="shared" si="158"/>
        <v>0</v>
      </c>
      <c r="AJ455" s="1">
        <f t="shared" si="151"/>
        <v>0</v>
      </c>
      <c r="AK455" s="1">
        <f t="shared" si="152"/>
        <v>0</v>
      </c>
      <c r="AL455" s="1">
        <f t="shared" si="153"/>
        <v>0</v>
      </c>
      <c r="AM455" s="1">
        <f t="shared" si="139"/>
        <v>-53058</v>
      </c>
    </row>
    <row r="456" spans="1:39" x14ac:dyDescent="0.3">
      <c r="A456" s="12">
        <v>454</v>
      </c>
      <c r="B456" s="58" t="s">
        <v>985</v>
      </c>
      <c r="C456" s="59" t="s">
        <v>1065</v>
      </c>
      <c r="D456" s="59" t="s">
        <v>1065</v>
      </c>
      <c r="E456" s="59" t="s">
        <v>1066</v>
      </c>
      <c r="F456" s="15">
        <f t="shared" si="142"/>
        <v>12000</v>
      </c>
      <c r="G456" s="16">
        <f t="shared" si="154"/>
        <v>3</v>
      </c>
      <c r="H456" s="15"/>
      <c r="I456" s="15">
        <f t="shared" si="140"/>
        <v>0</v>
      </c>
      <c r="J456" s="15"/>
      <c r="K456" s="15">
        <f t="shared" si="141"/>
        <v>0</v>
      </c>
      <c r="L456" s="15"/>
      <c r="M456" s="15">
        <f t="shared" si="145"/>
        <v>0</v>
      </c>
      <c r="N456" s="15"/>
      <c r="O456" s="15">
        <f t="shared" si="149"/>
        <v>0</v>
      </c>
      <c r="P456" s="15">
        <v>1</v>
      </c>
      <c r="Q456" s="15">
        <f t="shared" si="146"/>
        <v>12000</v>
      </c>
      <c r="R456" s="15">
        <v>1</v>
      </c>
      <c r="S456" s="15">
        <f t="shared" si="155"/>
        <v>12000</v>
      </c>
      <c r="T456" s="15">
        <v>1</v>
      </c>
      <c r="U456" s="15">
        <f t="shared" si="156"/>
        <v>12000</v>
      </c>
      <c r="V456" s="15">
        <f t="shared" si="148"/>
        <v>36000</v>
      </c>
      <c r="W456" s="17"/>
      <c r="X456" s="17"/>
      <c r="Y456" s="18">
        <v>0.04</v>
      </c>
      <c r="Z456" s="21">
        <f t="shared" si="143"/>
        <v>480</v>
      </c>
      <c r="AA456" s="60">
        <v>1</v>
      </c>
      <c r="AB456" s="1">
        <f t="shared" si="144"/>
        <v>12000</v>
      </c>
      <c r="AC456" s="21"/>
      <c r="AE456" s="19"/>
      <c r="AF456" s="20">
        <f>SUMIF('[1]G-Chart'!G:G,[1]Capacity!D456,'[1]G-Chart'!L:L)</f>
        <v>968</v>
      </c>
      <c r="AG456" s="2">
        <f t="shared" si="150"/>
        <v>0</v>
      </c>
      <c r="AH456" s="2">
        <f t="shared" si="157"/>
        <v>0</v>
      </c>
      <c r="AI456" s="2">
        <f t="shared" si="158"/>
        <v>0</v>
      </c>
      <c r="AJ456" s="1">
        <f t="shared" si="151"/>
        <v>968</v>
      </c>
      <c r="AK456" s="1">
        <f t="shared" si="152"/>
        <v>968</v>
      </c>
      <c r="AL456" s="1">
        <f t="shared" si="153"/>
        <v>968</v>
      </c>
      <c r="AM456" s="1">
        <f t="shared" si="139"/>
        <v>2904</v>
      </c>
    </row>
    <row r="457" spans="1:39" x14ac:dyDescent="0.3">
      <c r="A457" s="12">
        <v>455</v>
      </c>
      <c r="B457" s="58" t="s">
        <v>985</v>
      </c>
      <c r="C457" s="59" t="s">
        <v>1067</v>
      </c>
      <c r="D457" s="59" t="s">
        <v>1067</v>
      </c>
      <c r="E457" s="59" t="s">
        <v>1068</v>
      </c>
      <c r="F457" s="15">
        <f t="shared" si="142"/>
        <v>12000</v>
      </c>
      <c r="G457" s="16">
        <f t="shared" si="154"/>
        <v>3</v>
      </c>
      <c r="H457" s="15"/>
      <c r="I457" s="15">
        <f t="shared" si="140"/>
        <v>0</v>
      </c>
      <c r="J457" s="15"/>
      <c r="K457" s="15">
        <f t="shared" si="141"/>
        <v>0</v>
      </c>
      <c r="L457" s="15"/>
      <c r="M457" s="15">
        <f t="shared" si="145"/>
        <v>0</v>
      </c>
      <c r="N457" s="15"/>
      <c r="O457" s="15">
        <f t="shared" si="149"/>
        <v>0</v>
      </c>
      <c r="P457" s="15">
        <v>1</v>
      </c>
      <c r="Q457" s="15">
        <f t="shared" si="146"/>
        <v>12000</v>
      </c>
      <c r="R457" s="15">
        <v>1</v>
      </c>
      <c r="S457" s="15">
        <f t="shared" si="155"/>
        <v>12000</v>
      </c>
      <c r="T457" s="15">
        <v>1</v>
      </c>
      <c r="U457" s="15">
        <f t="shared" si="156"/>
        <v>12000</v>
      </c>
      <c r="V457" s="15">
        <f>F457*G457</f>
        <v>36000</v>
      </c>
      <c r="W457" s="17"/>
      <c r="X457" s="17"/>
      <c r="Y457" s="18">
        <v>0.03</v>
      </c>
      <c r="Z457" s="21">
        <f t="shared" si="143"/>
        <v>480</v>
      </c>
      <c r="AA457" s="60">
        <v>1</v>
      </c>
      <c r="AB457" s="1">
        <f t="shared" si="144"/>
        <v>12000</v>
      </c>
      <c r="AC457" s="21"/>
      <c r="AE457" s="19"/>
      <c r="AF457" s="20">
        <f>SUMIF('[1]G-Chart'!G:G,[1]Capacity!D457,'[1]G-Chart'!L:L)</f>
        <v>1461</v>
      </c>
      <c r="AG457" s="2">
        <f t="shared" si="150"/>
        <v>0</v>
      </c>
      <c r="AH457" s="2">
        <f t="shared" si="157"/>
        <v>0</v>
      </c>
      <c r="AI457" s="2">
        <f t="shared" si="158"/>
        <v>0</v>
      </c>
      <c r="AJ457" s="1">
        <f t="shared" si="151"/>
        <v>1461</v>
      </c>
      <c r="AK457" s="1">
        <f t="shared" si="152"/>
        <v>1461</v>
      </c>
      <c r="AL457" s="1">
        <f t="shared" si="153"/>
        <v>1461</v>
      </c>
      <c r="AM457" s="1">
        <f t="shared" si="139"/>
        <v>4383</v>
      </c>
    </row>
    <row r="458" spans="1:39" x14ac:dyDescent="0.3">
      <c r="A458" s="12">
        <v>456</v>
      </c>
      <c r="B458" s="58" t="s">
        <v>985</v>
      </c>
      <c r="C458" s="59" t="s">
        <v>1069</v>
      </c>
      <c r="D458" s="59" t="s">
        <v>1069</v>
      </c>
      <c r="E458" s="59" t="s">
        <v>1070</v>
      </c>
      <c r="F458" s="15">
        <f t="shared" si="142"/>
        <v>24000</v>
      </c>
      <c r="G458" s="16">
        <f t="shared" si="154"/>
        <v>4</v>
      </c>
      <c r="H458" s="15">
        <v>1</v>
      </c>
      <c r="I458" s="15">
        <f t="shared" si="140"/>
        <v>24000</v>
      </c>
      <c r="J458" s="15"/>
      <c r="K458" s="15">
        <f t="shared" si="141"/>
        <v>0</v>
      </c>
      <c r="L458" s="15">
        <v>3</v>
      </c>
      <c r="M458" s="15">
        <f t="shared" si="145"/>
        <v>72000</v>
      </c>
      <c r="N458" s="15"/>
      <c r="O458" s="15">
        <f t="shared" si="149"/>
        <v>0</v>
      </c>
      <c r="P458" s="15"/>
      <c r="Q458" s="15">
        <f t="shared" si="146"/>
        <v>0</v>
      </c>
      <c r="R458" s="15"/>
      <c r="S458" s="15">
        <f t="shared" si="155"/>
        <v>0</v>
      </c>
      <c r="T458" s="15"/>
      <c r="U458" s="15">
        <f t="shared" si="156"/>
        <v>0</v>
      </c>
      <c r="V458" s="15">
        <f t="shared" si="148"/>
        <v>96000</v>
      </c>
      <c r="W458" s="17"/>
      <c r="X458" s="17"/>
      <c r="Y458" s="18">
        <v>0.28899999999999998</v>
      </c>
      <c r="Z458" s="21">
        <f t="shared" si="143"/>
        <v>960</v>
      </c>
      <c r="AA458" s="60">
        <v>2</v>
      </c>
      <c r="AB458" s="1">
        <f t="shared" si="144"/>
        <v>24000</v>
      </c>
      <c r="AC458" s="21"/>
      <c r="AE458" s="19"/>
      <c r="AF458" s="20">
        <f>SUMIF('[1]G-Chart'!G:G,[1]Capacity!D458,'[1]G-Chart'!L:L)</f>
        <v>7551</v>
      </c>
      <c r="AG458" s="2">
        <f t="shared" si="150"/>
        <v>0</v>
      </c>
      <c r="AH458" s="2">
        <f t="shared" si="157"/>
        <v>22653</v>
      </c>
      <c r="AI458" s="2">
        <f t="shared" si="158"/>
        <v>0</v>
      </c>
      <c r="AJ458" s="1">
        <f t="shared" si="151"/>
        <v>0</v>
      </c>
      <c r="AK458" s="1">
        <f t="shared" si="152"/>
        <v>0</v>
      </c>
      <c r="AL458" s="1">
        <f t="shared" si="153"/>
        <v>0</v>
      </c>
      <c r="AM458" s="1">
        <f t="shared" si="139"/>
        <v>30204</v>
      </c>
    </row>
    <row r="459" spans="1:39" x14ac:dyDescent="0.3">
      <c r="A459" s="12">
        <v>457</v>
      </c>
      <c r="B459" s="58" t="s">
        <v>985</v>
      </c>
      <c r="C459" s="59" t="s">
        <v>1071</v>
      </c>
      <c r="D459" s="59" t="s">
        <v>1071</v>
      </c>
      <c r="E459" s="59" t="s">
        <v>1072</v>
      </c>
      <c r="F459" s="15">
        <f t="shared" si="142"/>
        <v>24000</v>
      </c>
      <c r="G459" s="16">
        <f t="shared" si="154"/>
        <v>3</v>
      </c>
      <c r="H459" s="15">
        <v>1</v>
      </c>
      <c r="I459" s="15">
        <f t="shared" si="140"/>
        <v>24000</v>
      </c>
      <c r="J459" s="15"/>
      <c r="K459" s="15">
        <f t="shared" si="141"/>
        <v>0</v>
      </c>
      <c r="L459" s="15"/>
      <c r="M459" s="15">
        <f t="shared" si="145"/>
        <v>0</v>
      </c>
      <c r="N459" s="15"/>
      <c r="O459" s="15">
        <f t="shared" si="149"/>
        <v>0</v>
      </c>
      <c r="P459" s="15"/>
      <c r="Q459" s="15">
        <f t="shared" si="146"/>
        <v>0</v>
      </c>
      <c r="R459" s="15"/>
      <c r="S459" s="15">
        <f t="shared" si="155"/>
        <v>0</v>
      </c>
      <c r="T459" s="15">
        <v>2</v>
      </c>
      <c r="U459" s="15">
        <f t="shared" si="156"/>
        <v>48000</v>
      </c>
      <c r="V459" s="15">
        <f t="shared" si="148"/>
        <v>72000</v>
      </c>
      <c r="W459" s="17"/>
      <c r="X459" s="17"/>
      <c r="Y459" s="18">
        <v>0.11700000000000001</v>
      </c>
      <c r="Z459" s="21">
        <f t="shared" si="143"/>
        <v>960</v>
      </c>
      <c r="AA459" s="60">
        <v>2</v>
      </c>
      <c r="AB459" s="1">
        <f t="shared" si="144"/>
        <v>24000</v>
      </c>
      <c r="AC459" s="21"/>
      <c r="AE459" s="19"/>
      <c r="AF459" s="20">
        <f>SUMIF('[1]G-Chart'!G:G,[1]Capacity!D459,'[1]G-Chart'!L:L)</f>
        <v>3690</v>
      </c>
      <c r="AG459" s="2">
        <f t="shared" si="150"/>
        <v>0</v>
      </c>
      <c r="AH459" s="2">
        <f t="shared" si="157"/>
        <v>0</v>
      </c>
      <c r="AI459" s="2">
        <f t="shared" si="158"/>
        <v>0</v>
      </c>
      <c r="AJ459" s="1">
        <f t="shared" si="151"/>
        <v>0</v>
      </c>
      <c r="AK459" s="1">
        <f t="shared" si="152"/>
        <v>0</v>
      </c>
      <c r="AL459" s="1">
        <f t="shared" si="153"/>
        <v>7380</v>
      </c>
      <c r="AM459" s="1">
        <f t="shared" si="139"/>
        <v>11070</v>
      </c>
    </row>
    <row r="460" spans="1:39" x14ac:dyDescent="0.3">
      <c r="A460" s="12">
        <v>458</v>
      </c>
      <c r="B460" s="58" t="s">
        <v>985</v>
      </c>
      <c r="C460" s="50" t="s">
        <v>1073</v>
      </c>
      <c r="D460" s="64" t="s">
        <v>1074</v>
      </c>
      <c r="E460" s="50" t="s">
        <v>1075</v>
      </c>
      <c r="F460" s="15">
        <f t="shared" si="142"/>
        <v>0</v>
      </c>
      <c r="G460" s="16">
        <f t="shared" si="154"/>
        <v>4</v>
      </c>
      <c r="H460" s="15"/>
      <c r="I460" s="15">
        <f t="shared" si="140"/>
        <v>0</v>
      </c>
      <c r="J460" s="15">
        <v>2</v>
      </c>
      <c r="K460" s="15">
        <f t="shared" si="141"/>
        <v>0</v>
      </c>
      <c r="L460" s="15"/>
      <c r="M460" s="15"/>
      <c r="N460" s="15">
        <v>2</v>
      </c>
      <c r="O460" s="15">
        <f t="shared" si="149"/>
        <v>0</v>
      </c>
      <c r="P460" s="15"/>
      <c r="Q460" s="15"/>
      <c r="R460" s="15"/>
      <c r="S460" s="15"/>
      <c r="T460" s="15"/>
      <c r="U460" s="15"/>
      <c r="V460" s="15">
        <f t="shared" si="148"/>
        <v>0</v>
      </c>
      <c r="W460" s="17"/>
      <c r="X460" s="17"/>
      <c r="Y460" s="18">
        <v>0.45</v>
      </c>
      <c r="Z460" s="21">
        <f t="shared" si="143"/>
        <v>480</v>
      </c>
      <c r="AA460" s="60">
        <v>1</v>
      </c>
      <c r="AB460" s="1">
        <v>0</v>
      </c>
      <c r="AC460" s="21"/>
      <c r="AE460" s="19"/>
      <c r="AF460" s="20">
        <f>SUMIF('[1]G-Chart'!G:G,[1]Capacity!D460,'[1]G-Chart'!L:L)</f>
        <v>-26529</v>
      </c>
      <c r="AG460" s="2">
        <v>0</v>
      </c>
      <c r="AH460" s="2">
        <f t="shared" si="157"/>
        <v>0</v>
      </c>
      <c r="AI460" s="2">
        <v>0</v>
      </c>
      <c r="AJ460" s="1">
        <f t="shared" si="151"/>
        <v>0</v>
      </c>
      <c r="AK460" s="1">
        <f t="shared" si="152"/>
        <v>0</v>
      </c>
      <c r="AL460" s="1">
        <f t="shared" si="153"/>
        <v>0</v>
      </c>
    </row>
    <row r="461" spans="1:39" x14ac:dyDescent="0.3">
      <c r="A461" s="12">
        <v>459</v>
      </c>
      <c r="B461" s="65" t="s">
        <v>985</v>
      </c>
      <c r="C461" s="59" t="s">
        <v>1076</v>
      </c>
      <c r="D461" s="59" t="s">
        <v>1077</v>
      </c>
      <c r="E461" s="59" t="s">
        <v>1078</v>
      </c>
      <c r="F461" s="15">
        <f t="shared" si="142"/>
        <v>12000</v>
      </c>
      <c r="G461" s="16">
        <f t="shared" si="154"/>
        <v>1</v>
      </c>
      <c r="H461" s="15">
        <v>1</v>
      </c>
      <c r="I461" s="15">
        <f t="shared" si="140"/>
        <v>12000</v>
      </c>
      <c r="J461" s="15"/>
      <c r="K461" s="15">
        <f t="shared" si="141"/>
        <v>0</v>
      </c>
      <c r="L461" s="15"/>
      <c r="M461" s="15"/>
      <c r="N461" s="15"/>
      <c r="O461" s="15">
        <f t="shared" si="149"/>
        <v>0</v>
      </c>
      <c r="P461" s="15"/>
      <c r="Q461" s="15"/>
      <c r="R461" s="15"/>
      <c r="S461" s="15"/>
      <c r="T461" s="15"/>
      <c r="U461" s="15"/>
      <c r="V461" s="15">
        <f t="shared" si="148"/>
        <v>12000</v>
      </c>
      <c r="W461" s="17"/>
      <c r="X461" s="17"/>
      <c r="Y461" s="18">
        <v>0.06</v>
      </c>
      <c r="Z461" s="21">
        <f t="shared" si="143"/>
        <v>480</v>
      </c>
      <c r="AA461" s="60">
        <v>1</v>
      </c>
      <c r="AB461" s="1">
        <f t="shared" si="144"/>
        <v>12000</v>
      </c>
      <c r="AC461" s="21"/>
      <c r="AE461" s="19"/>
      <c r="AF461" s="20">
        <f>SUMIF('[1]G-Chart'!G:G,[1]Capacity!D461,'[1]G-Chart'!L:L)</f>
        <v>23264</v>
      </c>
      <c r="AG461" s="2">
        <f t="shared" si="150"/>
        <v>0</v>
      </c>
      <c r="AH461" s="2">
        <f t="shared" si="157"/>
        <v>0</v>
      </c>
      <c r="AI461" s="2">
        <f t="shared" si="158"/>
        <v>0</v>
      </c>
      <c r="AJ461" s="1">
        <f t="shared" si="151"/>
        <v>0</v>
      </c>
      <c r="AK461" s="1">
        <f t="shared" si="152"/>
        <v>0</v>
      </c>
      <c r="AL461" s="1">
        <f t="shared" si="153"/>
        <v>0</v>
      </c>
    </row>
    <row r="462" spans="1:39" x14ac:dyDescent="0.3">
      <c r="A462" s="12">
        <v>460</v>
      </c>
      <c r="B462" s="65" t="s">
        <v>985</v>
      </c>
      <c r="C462" s="59" t="s">
        <v>1079</v>
      </c>
      <c r="D462" s="59" t="s">
        <v>1080</v>
      </c>
      <c r="E462" s="59" t="s">
        <v>1081</v>
      </c>
      <c r="F462" s="15">
        <f t="shared" si="142"/>
        <v>24000</v>
      </c>
      <c r="G462" s="16">
        <f t="shared" si="154"/>
        <v>4</v>
      </c>
      <c r="H462" s="15">
        <v>1</v>
      </c>
      <c r="I462" s="15">
        <f t="shared" si="140"/>
        <v>24000</v>
      </c>
      <c r="J462" s="15">
        <v>2</v>
      </c>
      <c r="K462" s="15">
        <f t="shared" si="141"/>
        <v>48000</v>
      </c>
      <c r="L462" s="15"/>
      <c r="M462" s="15"/>
      <c r="N462" s="15">
        <v>1</v>
      </c>
      <c r="O462" s="15">
        <f t="shared" si="149"/>
        <v>24000</v>
      </c>
      <c r="P462" s="15"/>
      <c r="Q462" s="15"/>
      <c r="R462" s="15"/>
      <c r="S462" s="15"/>
      <c r="T462" s="15"/>
      <c r="U462" s="15"/>
      <c r="V462" s="15">
        <f t="shared" si="148"/>
        <v>96000</v>
      </c>
      <c r="W462" s="17"/>
      <c r="X462" s="17"/>
      <c r="Y462" s="18">
        <v>0.29399999999999998</v>
      </c>
      <c r="Z462" s="21">
        <f t="shared" si="143"/>
        <v>960</v>
      </c>
      <c r="AA462" s="60">
        <v>2</v>
      </c>
      <c r="AB462" s="1">
        <f t="shared" si="144"/>
        <v>24000</v>
      </c>
      <c r="AC462" s="21"/>
      <c r="AE462" s="19"/>
      <c r="AF462" s="20">
        <f>SUMIF('[1]G-Chart'!G:G,[1]Capacity!D462,'[1]G-Chart'!L:L)</f>
        <v>1025</v>
      </c>
      <c r="AG462" s="2">
        <f t="shared" si="150"/>
        <v>2050</v>
      </c>
      <c r="AH462" s="2">
        <f t="shared" si="157"/>
        <v>0</v>
      </c>
      <c r="AI462" s="2">
        <f t="shared" si="158"/>
        <v>1025</v>
      </c>
      <c r="AJ462" s="1">
        <f t="shared" si="151"/>
        <v>0</v>
      </c>
      <c r="AK462" s="1">
        <f t="shared" si="152"/>
        <v>0</v>
      </c>
      <c r="AL462" s="1">
        <f t="shared" si="153"/>
        <v>0</v>
      </c>
    </row>
    <row r="463" spans="1:39" x14ac:dyDescent="0.3">
      <c r="A463" s="12">
        <v>461</v>
      </c>
      <c r="B463" s="65" t="s">
        <v>985</v>
      </c>
      <c r="C463" s="66" t="s">
        <v>1082</v>
      </c>
      <c r="D463" s="67" t="s">
        <v>1082</v>
      </c>
      <c r="E463" s="66" t="s">
        <v>1083</v>
      </c>
      <c r="F463" s="15">
        <f t="shared" si="142"/>
        <v>0</v>
      </c>
      <c r="G463" s="16">
        <v>0.5</v>
      </c>
      <c r="H463" s="15"/>
      <c r="I463" s="15"/>
      <c r="J463" s="15">
        <v>0.5</v>
      </c>
      <c r="K463" s="15">
        <f t="shared" si="141"/>
        <v>0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>
        <f t="shared" si="148"/>
        <v>0</v>
      </c>
      <c r="W463" s="17"/>
      <c r="X463" s="17"/>
      <c r="Y463" s="18">
        <v>0.3</v>
      </c>
      <c r="Z463" s="21">
        <f t="shared" si="143"/>
        <v>0</v>
      </c>
      <c r="AA463" s="60"/>
      <c r="AB463" s="1">
        <f t="shared" si="144"/>
        <v>0</v>
      </c>
      <c r="AC463" s="21"/>
      <c r="AE463" s="19"/>
      <c r="AF463" s="20">
        <f>SUMIF('[1]G-Chart'!G:G,[1]Capacity!D463,'[1]G-Chart'!L:L)</f>
        <v>-53058</v>
      </c>
    </row>
    <row r="464" spans="1:39" x14ac:dyDescent="0.3">
      <c r="A464" s="12">
        <v>462</v>
      </c>
      <c r="B464" s="65" t="s">
        <v>985</v>
      </c>
      <c r="C464" s="66" t="s">
        <v>1084</v>
      </c>
      <c r="D464" s="67" t="s">
        <v>1084</v>
      </c>
      <c r="E464" s="66" t="s">
        <v>1085</v>
      </c>
      <c r="F464" s="15">
        <f t="shared" si="142"/>
        <v>0</v>
      </c>
      <c r="G464" s="16">
        <v>0.5</v>
      </c>
      <c r="H464" s="15"/>
      <c r="I464" s="15"/>
      <c r="J464" s="15">
        <v>0.5</v>
      </c>
      <c r="K464" s="15">
        <f t="shared" si="141"/>
        <v>0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>
        <f t="shared" si="148"/>
        <v>0</v>
      </c>
      <c r="W464" s="17"/>
      <c r="X464" s="17"/>
      <c r="Y464" s="18">
        <v>0.3</v>
      </c>
      <c r="Z464" s="21">
        <f t="shared" si="143"/>
        <v>0</v>
      </c>
      <c r="AA464" s="60"/>
      <c r="AB464" s="1">
        <f t="shared" si="144"/>
        <v>0</v>
      </c>
      <c r="AC464" s="21"/>
      <c r="AE464" s="19"/>
      <c r="AF464" s="20">
        <f>SUMIF('[1]G-Chart'!G:G,[1]Capacity!D464,'[1]G-Chart'!L:L)</f>
        <v>-53058</v>
      </c>
    </row>
    <row r="465" spans="1:39" x14ac:dyDescent="0.3">
      <c r="A465" s="12">
        <v>463</v>
      </c>
      <c r="B465" s="58" t="s">
        <v>985</v>
      </c>
      <c r="C465" s="59" t="s">
        <v>1086</v>
      </c>
      <c r="D465" s="63" t="s">
        <v>1086</v>
      </c>
      <c r="E465" s="59" t="s">
        <v>1087</v>
      </c>
      <c r="F465" s="15">
        <f t="shared" si="142"/>
        <v>0</v>
      </c>
      <c r="G465" s="16">
        <f t="shared" si="154"/>
        <v>3</v>
      </c>
      <c r="H465" s="15"/>
      <c r="I465" s="15">
        <f t="shared" si="140"/>
        <v>0</v>
      </c>
      <c r="J465" s="15"/>
      <c r="K465" s="15">
        <f t="shared" si="141"/>
        <v>0</v>
      </c>
      <c r="L465" s="15"/>
      <c r="M465" s="15">
        <f t="shared" si="145"/>
        <v>0</v>
      </c>
      <c r="N465" s="15">
        <v>1</v>
      </c>
      <c r="O465" s="15">
        <f t="shared" si="149"/>
        <v>0</v>
      </c>
      <c r="P465" s="15">
        <v>2</v>
      </c>
      <c r="Q465" s="15">
        <f t="shared" si="146"/>
        <v>0</v>
      </c>
      <c r="R465" s="15"/>
      <c r="S465" s="15">
        <f t="shared" si="155"/>
        <v>0</v>
      </c>
      <c r="T465" s="15"/>
      <c r="U465" s="15">
        <f t="shared" si="156"/>
        <v>0</v>
      </c>
      <c r="V465" s="15">
        <f t="shared" si="148"/>
        <v>0</v>
      </c>
      <c r="W465" s="17"/>
      <c r="X465" s="17"/>
      <c r="Y465" s="18">
        <v>0.14899999999999999</v>
      </c>
      <c r="Z465" s="21">
        <f t="shared" si="143"/>
        <v>960</v>
      </c>
      <c r="AA465" s="60">
        <v>2</v>
      </c>
      <c r="AB465" s="1">
        <v>0</v>
      </c>
      <c r="AC465" s="21"/>
      <c r="AE465" s="19"/>
      <c r="AF465" s="20">
        <f>SUMIF('[1]G-Chart'!G:G,[1]Capacity!D465,'[1]G-Chart'!L:L)</f>
        <v>-53650</v>
      </c>
      <c r="AG465" s="2">
        <f t="shared" ref="AG465:AG533" si="159">AF465*J465</f>
        <v>0</v>
      </c>
      <c r="AH465" s="2">
        <f t="shared" ref="AH465:AH533" si="160">AF465*L465</f>
        <v>0</v>
      </c>
      <c r="AI465" s="2">
        <v>0</v>
      </c>
      <c r="AJ465" s="1">
        <v>0</v>
      </c>
      <c r="AK465" s="1">
        <f t="shared" ref="AK465:AK533" si="161">AF465*R465</f>
        <v>0</v>
      </c>
      <c r="AL465" s="1">
        <f t="shared" ref="AL465:AL533" si="162">AF465*T465</f>
        <v>0</v>
      </c>
      <c r="AM465" s="1">
        <f t="shared" ref="AM465:AM533" si="163">AF465*G465</f>
        <v>-160950</v>
      </c>
    </row>
    <row r="466" spans="1:39" x14ac:dyDescent="0.3">
      <c r="A466" s="12">
        <v>464</v>
      </c>
      <c r="B466" s="58" t="s">
        <v>1088</v>
      </c>
      <c r="C466" s="59" t="s">
        <v>1089</v>
      </c>
      <c r="D466" s="59" t="s">
        <v>1089</v>
      </c>
      <c r="E466" s="59" t="s">
        <v>1090</v>
      </c>
      <c r="F466" s="15">
        <f>+AB466</f>
        <v>20190</v>
      </c>
      <c r="G466" s="16">
        <f t="shared" si="154"/>
        <v>3</v>
      </c>
      <c r="H466" s="15"/>
      <c r="I466" s="15">
        <f t="shared" si="140"/>
        <v>0</v>
      </c>
      <c r="J466" s="15"/>
      <c r="K466" s="15">
        <f t="shared" si="141"/>
        <v>0</v>
      </c>
      <c r="L466" s="15"/>
      <c r="M466" s="15">
        <f t="shared" si="145"/>
        <v>0</v>
      </c>
      <c r="N466" s="15"/>
      <c r="O466" s="15">
        <f t="shared" si="149"/>
        <v>0</v>
      </c>
      <c r="P466" s="15">
        <v>1</v>
      </c>
      <c r="Q466" s="15">
        <f t="shared" si="146"/>
        <v>20190</v>
      </c>
      <c r="R466" s="15">
        <v>2</v>
      </c>
      <c r="S466" s="15">
        <f t="shared" si="155"/>
        <v>40380</v>
      </c>
      <c r="T466" s="15"/>
      <c r="U466" s="15">
        <f t="shared" si="156"/>
        <v>0</v>
      </c>
      <c r="V466" s="15">
        <f t="shared" si="148"/>
        <v>60570</v>
      </c>
      <c r="W466" s="17"/>
      <c r="X466" s="17"/>
      <c r="Y466" s="18">
        <v>0.1</v>
      </c>
      <c r="Z466" s="21"/>
      <c r="AA466" s="21">
        <v>2</v>
      </c>
      <c r="AB466" s="1">
        <f>AA466*$AD$466</f>
        <v>20190</v>
      </c>
      <c r="AC466" s="30" t="s">
        <v>1088</v>
      </c>
      <c r="AD466" s="31">
        <v>10095</v>
      </c>
      <c r="AE466" s="32" t="s">
        <v>1091</v>
      </c>
      <c r="AF466" s="20">
        <f>SUMIF('[1]G-Chart'!G:G,[1]Capacity!D466,'[1]G-Chart'!L:L)</f>
        <v>4000</v>
      </c>
      <c r="AG466" s="2">
        <f t="shared" si="159"/>
        <v>0</v>
      </c>
      <c r="AH466" s="2">
        <f t="shared" si="160"/>
        <v>0</v>
      </c>
      <c r="AI466" s="2">
        <f t="shared" ref="AI466:AI527" si="164">AF466*N466</f>
        <v>0</v>
      </c>
      <c r="AJ466" s="1">
        <f t="shared" ref="AJ466:AJ533" si="165">AF466*P466</f>
        <v>4000</v>
      </c>
      <c r="AK466" s="1">
        <f t="shared" si="161"/>
        <v>8000</v>
      </c>
      <c r="AL466" s="1">
        <f t="shared" si="162"/>
        <v>0</v>
      </c>
      <c r="AM466" s="1">
        <f t="shared" si="163"/>
        <v>12000</v>
      </c>
    </row>
    <row r="467" spans="1:39" x14ac:dyDescent="0.3">
      <c r="A467" s="12">
        <v>465</v>
      </c>
      <c r="B467" s="58" t="s">
        <v>1088</v>
      </c>
      <c r="C467" s="59" t="s">
        <v>1092</v>
      </c>
      <c r="D467" s="59" t="s">
        <v>1092</v>
      </c>
      <c r="E467" s="59" t="s">
        <v>1093</v>
      </c>
      <c r="F467" s="15">
        <f t="shared" si="142"/>
        <v>20190</v>
      </c>
      <c r="G467" s="16">
        <f t="shared" si="154"/>
        <v>3</v>
      </c>
      <c r="H467" s="15"/>
      <c r="I467" s="15">
        <f t="shared" si="140"/>
        <v>0</v>
      </c>
      <c r="J467" s="15"/>
      <c r="K467" s="15">
        <f t="shared" si="141"/>
        <v>0</v>
      </c>
      <c r="L467" s="15"/>
      <c r="M467" s="15">
        <f t="shared" si="145"/>
        <v>0</v>
      </c>
      <c r="N467" s="15"/>
      <c r="O467" s="15">
        <f t="shared" si="149"/>
        <v>0</v>
      </c>
      <c r="P467" s="15"/>
      <c r="Q467" s="15">
        <f t="shared" si="146"/>
        <v>0</v>
      </c>
      <c r="R467" s="15">
        <v>1</v>
      </c>
      <c r="S467" s="15">
        <f t="shared" si="155"/>
        <v>20190</v>
      </c>
      <c r="T467" s="15">
        <v>2</v>
      </c>
      <c r="U467" s="15">
        <f t="shared" si="156"/>
        <v>40380</v>
      </c>
      <c r="V467" s="15">
        <f t="shared" si="148"/>
        <v>60570</v>
      </c>
      <c r="W467" s="17"/>
      <c r="X467" s="17"/>
      <c r="Y467" s="18">
        <v>6.8000000000000005E-2</v>
      </c>
      <c r="Z467" s="21"/>
      <c r="AA467" s="21">
        <v>2</v>
      </c>
      <c r="AB467" s="1">
        <f t="shared" ref="AB467:AB490" si="166">AA467*$AD$466</f>
        <v>20190</v>
      </c>
      <c r="AC467" s="21"/>
      <c r="AE467" s="19"/>
      <c r="AF467" s="20">
        <f>SUMIF('[1]G-Chart'!G:G,[1]Capacity!D467,'[1]G-Chart'!L:L)</f>
        <v>1997</v>
      </c>
      <c r="AG467" s="2">
        <f t="shared" si="159"/>
        <v>0</v>
      </c>
      <c r="AH467" s="2">
        <f t="shared" si="160"/>
        <v>0</v>
      </c>
      <c r="AI467" s="2">
        <f t="shared" si="164"/>
        <v>0</v>
      </c>
      <c r="AJ467" s="1">
        <f t="shared" si="165"/>
        <v>0</v>
      </c>
      <c r="AK467" s="1">
        <f t="shared" si="161"/>
        <v>1997</v>
      </c>
      <c r="AL467" s="1">
        <f t="shared" si="162"/>
        <v>3994</v>
      </c>
      <c r="AM467" s="1">
        <f t="shared" si="163"/>
        <v>5991</v>
      </c>
    </row>
    <row r="468" spans="1:39" x14ac:dyDescent="0.3">
      <c r="A468" s="12">
        <v>466</v>
      </c>
      <c r="B468" s="58" t="s">
        <v>1088</v>
      </c>
      <c r="C468" s="59" t="s">
        <v>1094</v>
      </c>
      <c r="D468" s="59" t="s">
        <v>1094</v>
      </c>
      <c r="E468" s="59" t="s">
        <v>1095</v>
      </c>
      <c r="F468" s="15">
        <f t="shared" si="142"/>
        <v>20190</v>
      </c>
      <c r="G468" s="16">
        <f t="shared" si="154"/>
        <v>2</v>
      </c>
      <c r="H468" s="15"/>
      <c r="I468" s="15">
        <f t="shared" si="140"/>
        <v>0</v>
      </c>
      <c r="J468" s="15"/>
      <c r="K468" s="15">
        <f t="shared" si="141"/>
        <v>0</v>
      </c>
      <c r="L468" s="15"/>
      <c r="M468" s="15">
        <f t="shared" si="145"/>
        <v>0</v>
      </c>
      <c r="N468" s="15"/>
      <c r="O468" s="15">
        <f t="shared" si="149"/>
        <v>0</v>
      </c>
      <c r="P468" s="15"/>
      <c r="Q468" s="15">
        <f t="shared" si="146"/>
        <v>0</v>
      </c>
      <c r="R468" s="15">
        <v>2</v>
      </c>
      <c r="S468" s="15">
        <f t="shared" si="155"/>
        <v>40380</v>
      </c>
      <c r="T468" s="15"/>
      <c r="U468" s="15">
        <f t="shared" si="156"/>
        <v>0</v>
      </c>
      <c r="V468" s="15">
        <f t="shared" si="148"/>
        <v>40380</v>
      </c>
      <c r="W468" s="17"/>
      <c r="X468" s="17"/>
      <c r="Y468" s="18">
        <v>0.09</v>
      </c>
      <c r="Z468" s="21"/>
      <c r="AA468" s="21">
        <v>2</v>
      </c>
      <c r="AB468" s="1">
        <f t="shared" si="166"/>
        <v>20190</v>
      </c>
      <c r="AC468" s="21"/>
      <c r="AE468" s="19"/>
      <c r="AF468" s="20">
        <f>SUMIF('[1]G-Chart'!G:G,[1]Capacity!D468,'[1]G-Chart'!L:L)</f>
        <v>3713</v>
      </c>
      <c r="AG468" s="2">
        <f t="shared" si="159"/>
        <v>0</v>
      </c>
      <c r="AH468" s="2">
        <f t="shared" si="160"/>
        <v>0</v>
      </c>
      <c r="AI468" s="2">
        <f t="shared" si="164"/>
        <v>0</v>
      </c>
      <c r="AJ468" s="1">
        <f t="shared" si="165"/>
        <v>0</v>
      </c>
      <c r="AK468" s="1">
        <f t="shared" si="161"/>
        <v>7426</v>
      </c>
      <c r="AL468" s="1">
        <f t="shared" si="162"/>
        <v>0</v>
      </c>
      <c r="AM468" s="1">
        <f t="shared" si="163"/>
        <v>7426</v>
      </c>
    </row>
    <row r="469" spans="1:39" x14ac:dyDescent="0.3">
      <c r="A469" s="12">
        <v>467</v>
      </c>
      <c r="B469" s="58" t="s">
        <v>1088</v>
      </c>
      <c r="C469" s="59" t="s">
        <v>1096</v>
      </c>
      <c r="D469" s="59" t="s">
        <v>1096</v>
      </c>
      <c r="E469" s="59" t="s">
        <v>1097</v>
      </c>
      <c r="F469" s="15">
        <f t="shared" si="142"/>
        <v>20190</v>
      </c>
      <c r="G469" s="16">
        <f t="shared" si="154"/>
        <v>3</v>
      </c>
      <c r="H469" s="15"/>
      <c r="I469" s="15">
        <f t="shared" si="140"/>
        <v>0</v>
      </c>
      <c r="J469" s="15"/>
      <c r="K469" s="15">
        <f t="shared" si="141"/>
        <v>0</v>
      </c>
      <c r="L469" s="15"/>
      <c r="M469" s="15">
        <f t="shared" si="145"/>
        <v>0</v>
      </c>
      <c r="N469" s="15"/>
      <c r="O469" s="15">
        <f t="shared" si="149"/>
        <v>0</v>
      </c>
      <c r="P469" s="15">
        <v>2</v>
      </c>
      <c r="Q469" s="15">
        <f t="shared" si="146"/>
        <v>40380</v>
      </c>
      <c r="R469" s="15">
        <v>1</v>
      </c>
      <c r="S469" s="15">
        <f t="shared" si="155"/>
        <v>20190</v>
      </c>
      <c r="T469" s="15"/>
      <c r="U469" s="15">
        <f t="shared" si="156"/>
        <v>0</v>
      </c>
      <c r="V469" s="15">
        <f t="shared" si="148"/>
        <v>60570</v>
      </c>
      <c r="W469" s="17"/>
      <c r="X469" s="17"/>
      <c r="Y469" s="18">
        <v>0.10299999999999999</v>
      </c>
      <c r="Z469" s="21"/>
      <c r="AA469" s="21">
        <v>2</v>
      </c>
      <c r="AB469" s="1">
        <f t="shared" si="166"/>
        <v>20190</v>
      </c>
      <c r="AC469" s="21"/>
      <c r="AE469" s="19"/>
      <c r="AF469" s="20">
        <f>SUMIF('[1]G-Chart'!G:G,[1]Capacity!D469,'[1]G-Chart'!L:L)</f>
        <v>3337</v>
      </c>
      <c r="AG469" s="2">
        <f t="shared" si="159"/>
        <v>0</v>
      </c>
      <c r="AH469" s="2">
        <f t="shared" si="160"/>
        <v>0</v>
      </c>
      <c r="AI469" s="2">
        <f t="shared" si="164"/>
        <v>0</v>
      </c>
      <c r="AJ469" s="1">
        <f t="shared" si="165"/>
        <v>6674</v>
      </c>
      <c r="AK469" s="1">
        <f t="shared" si="161"/>
        <v>3337</v>
      </c>
      <c r="AL469" s="1">
        <f t="shared" si="162"/>
        <v>0</v>
      </c>
      <c r="AM469" s="1">
        <f t="shared" si="163"/>
        <v>10011</v>
      </c>
    </row>
    <row r="470" spans="1:39" x14ac:dyDescent="0.3">
      <c r="A470" s="12">
        <v>468</v>
      </c>
      <c r="B470" s="58" t="s">
        <v>1088</v>
      </c>
      <c r="C470" s="59" t="s">
        <v>1098</v>
      </c>
      <c r="D470" s="59" t="s">
        <v>1098</v>
      </c>
      <c r="E470" s="59" t="s">
        <v>1099</v>
      </c>
      <c r="F470" s="15">
        <f t="shared" si="142"/>
        <v>10095</v>
      </c>
      <c r="G470" s="16">
        <f t="shared" si="154"/>
        <v>2.5</v>
      </c>
      <c r="H470" s="15"/>
      <c r="I470" s="15">
        <f t="shared" si="140"/>
        <v>0</v>
      </c>
      <c r="J470" s="15">
        <v>2</v>
      </c>
      <c r="K470" s="15">
        <f>F470*J470</f>
        <v>20190</v>
      </c>
      <c r="L470" s="15"/>
      <c r="M470" s="15">
        <f t="shared" si="145"/>
        <v>0</v>
      </c>
      <c r="N470" s="15"/>
      <c r="O470" s="15">
        <f t="shared" si="149"/>
        <v>0</v>
      </c>
      <c r="P470" s="15">
        <v>0.5</v>
      </c>
      <c r="Q470" s="15">
        <f>P470*F470</f>
        <v>5047.5</v>
      </c>
      <c r="R470" s="15"/>
      <c r="S470" s="15">
        <f t="shared" si="155"/>
        <v>0</v>
      </c>
      <c r="T470" s="15"/>
      <c r="U470" s="15">
        <f t="shared" si="156"/>
        <v>0</v>
      </c>
      <c r="V470" s="15">
        <f t="shared" si="148"/>
        <v>25237.5</v>
      </c>
      <c r="W470" s="17"/>
      <c r="X470" s="17"/>
      <c r="Y470" s="18">
        <v>0.53400000000000003</v>
      </c>
      <c r="Z470" s="21"/>
      <c r="AA470" s="21">
        <v>1</v>
      </c>
      <c r="AB470" s="1">
        <f t="shared" si="166"/>
        <v>10095</v>
      </c>
      <c r="AC470" s="21"/>
      <c r="AE470" s="19"/>
      <c r="AF470" s="20">
        <f>SUMIF('[1]G-Chart'!G:G,[1]Capacity!D470,'[1]G-Chart'!L:L)</f>
        <v>4070</v>
      </c>
      <c r="AG470" s="2">
        <f t="shared" si="159"/>
        <v>8140</v>
      </c>
      <c r="AH470" s="2">
        <f t="shared" si="160"/>
        <v>0</v>
      </c>
      <c r="AI470" s="2">
        <f t="shared" si="164"/>
        <v>0</v>
      </c>
      <c r="AJ470" s="1">
        <f t="shared" si="165"/>
        <v>2035</v>
      </c>
      <c r="AK470" s="1">
        <f t="shared" si="161"/>
        <v>0</v>
      </c>
      <c r="AL470" s="1">
        <f t="shared" si="162"/>
        <v>0</v>
      </c>
      <c r="AM470" s="1">
        <f t="shared" si="163"/>
        <v>10175</v>
      </c>
    </row>
    <row r="471" spans="1:39" x14ac:dyDescent="0.3">
      <c r="A471" s="12">
        <v>469</v>
      </c>
      <c r="B471" s="58" t="s">
        <v>1088</v>
      </c>
      <c r="C471" s="59" t="s">
        <v>1100</v>
      </c>
      <c r="D471" s="59" t="s">
        <v>1100</v>
      </c>
      <c r="E471" s="59" t="s">
        <v>1101</v>
      </c>
      <c r="F471" s="15">
        <f t="shared" si="142"/>
        <v>10095</v>
      </c>
      <c r="G471" s="16">
        <f t="shared" si="154"/>
        <v>2.5</v>
      </c>
      <c r="H471" s="15"/>
      <c r="I471" s="15">
        <f t="shared" si="140"/>
        <v>0</v>
      </c>
      <c r="J471" s="15">
        <v>2</v>
      </c>
      <c r="K471" s="15">
        <f t="shared" si="141"/>
        <v>20190</v>
      </c>
      <c r="L471" s="15"/>
      <c r="M471" s="15">
        <f t="shared" si="145"/>
        <v>0</v>
      </c>
      <c r="N471" s="15"/>
      <c r="O471" s="15">
        <f t="shared" si="149"/>
        <v>0</v>
      </c>
      <c r="P471" s="15">
        <v>0.5</v>
      </c>
      <c r="Q471" s="15">
        <f t="shared" si="146"/>
        <v>5047.5</v>
      </c>
      <c r="R471" s="15"/>
      <c r="S471" s="15">
        <f t="shared" si="155"/>
        <v>0</v>
      </c>
      <c r="T471" s="15"/>
      <c r="U471" s="15">
        <f t="shared" si="156"/>
        <v>0</v>
      </c>
      <c r="V471" s="15">
        <f t="shared" si="148"/>
        <v>25237.5</v>
      </c>
      <c r="W471" s="17"/>
      <c r="X471" s="17"/>
      <c r="Y471" s="18">
        <v>0.53800000000000003</v>
      </c>
      <c r="Z471" s="21"/>
      <c r="AA471" s="21">
        <v>1</v>
      </c>
      <c r="AB471" s="1">
        <f t="shared" si="166"/>
        <v>10095</v>
      </c>
      <c r="AC471" s="21"/>
      <c r="AE471" s="19"/>
      <c r="AF471" s="20">
        <f>SUMIF('[1]G-Chart'!G:G,[1]Capacity!D471,'[1]G-Chart'!L:L)</f>
        <v>3597</v>
      </c>
      <c r="AG471" s="2">
        <f t="shared" si="159"/>
        <v>7194</v>
      </c>
      <c r="AH471" s="2">
        <f t="shared" si="160"/>
        <v>0</v>
      </c>
      <c r="AI471" s="2">
        <f t="shared" si="164"/>
        <v>0</v>
      </c>
      <c r="AJ471" s="1">
        <f t="shared" si="165"/>
        <v>1798.5</v>
      </c>
      <c r="AK471" s="1">
        <f t="shared" si="161"/>
        <v>0</v>
      </c>
      <c r="AL471" s="1">
        <f t="shared" si="162"/>
        <v>0</v>
      </c>
      <c r="AM471" s="1">
        <f t="shared" si="163"/>
        <v>8992.5</v>
      </c>
    </row>
    <row r="472" spans="1:39" x14ac:dyDescent="0.3">
      <c r="A472" s="12">
        <v>470</v>
      </c>
      <c r="B472" s="58" t="s">
        <v>1088</v>
      </c>
      <c r="C472" s="59" t="s">
        <v>1102</v>
      </c>
      <c r="D472" s="59" t="s">
        <v>1102</v>
      </c>
      <c r="E472" s="59" t="s">
        <v>1103</v>
      </c>
      <c r="F472" s="15">
        <f t="shared" si="142"/>
        <v>10095</v>
      </c>
      <c r="G472" s="16">
        <f t="shared" si="154"/>
        <v>2.5</v>
      </c>
      <c r="H472" s="15"/>
      <c r="I472" s="15">
        <f t="shared" si="140"/>
        <v>0</v>
      </c>
      <c r="J472" s="15">
        <v>2</v>
      </c>
      <c r="K472" s="15">
        <f t="shared" si="141"/>
        <v>20190</v>
      </c>
      <c r="L472" s="15"/>
      <c r="M472" s="15">
        <f t="shared" si="145"/>
        <v>0</v>
      </c>
      <c r="N472" s="15"/>
      <c r="O472" s="15">
        <f t="shared" si="149"/>
        <v>0</v>
      </c>
      <c r="P472" s="15">
        <v>0.5</v>
      </c>
      <c r="Q472" s="15">
        <f t="shared" si="146"/>
        <v>5047.5</v>
      </c>
      <c r="R472" s="15"/>
      <c r="S472" s="15">
        <f t="shared" si="155"/>
        <v>0</v>
      </c>
      <c r="T472" s="15"/>
      <c r="U472" s="15">
        <f t="shared" si="156"/>
        <v>0</v>
      </c>
      <c r="V472" s="15">
        <f t="shared" si="148"/>
        <v>25237.5</v>
      </c>
      <c r="W472" s="17"/>
      <c r="X472" s="17"/>
      <c r="Y472" s="18">
        <v>0.42799999999999999</v>
      </c>
      <c r="Z472" s="21"/>
      <c r="AA472" s="21">
        <v>1</v>
      </c>
      <c r="AB472" s="1">
        <f t="shared" si="166"/>
        <v>10095</v>
      </c>
      <c r="AC472" s="21"/>
      <c r="AE472" s="19"/>
      <c r="AF472" s="20">
        <f>SUMIF('[1]G-Chart'!G:G,[1]Capacity!D472,'[1]G-Chart'!L:L)</f>
        <v>1637</v>
      </c>
      <c r="AG472" s="2">
        <f t="shared" si="159"/>
        <v>3274</v>
      </c>
      <c r="AH472" s="2">
        <f t="shared" si="160"/>
        <v>0</v>
      </c>
      <c r="AI472" s="2">
        <f t="shared" si="164"/>
        <v>0</v>
      </c>
      <c r="AJ472" s="1">
        <f t="shared" si="165"/>
        <v>818.5</v>
      </c>
      <c r="AK472" s="1">
        <f t="shared" si="161"/>
        <v>0</v>
      </c>
      <c r="AL472" s="1">
        <f t="shared" si="162"/>
        <v>0</v>
      </c>
      <c r="AM472" s="1">
        <f t="shared" si="163"/>
        <v>4092.5</v>
      </c>
    </row>
    <row r="473" spans="1:39" x14ac:dyDescent="0.3">
      <c r="A473" s="12">
        <v>471</v>
      </c>
      <c r="B473" s="58" t="s">
        <v>1088</v>
      </c>
      <c r="C473" s="59" t="s">
        <v>1104</v>
      </c>
      <c r="D473" s="59" t="s">
        <v>1104</v>
      </c>
      <c r="E473" s="59" t="s">
        <v>1105</v>
      </c>
      <c r="F473" s="15">
        <f t="shared" si="142"/>
        <v>10095</v>
      </c>
      <c r="G473" s="16">
        <f t="shared" si="154"/>
        <v>2.5</v>
      </c>
      <c r="H473" s="15"/>
      <c r="I473" s="15">
        <f t="shared" si="140"/>
        <v>0</v>
      </c>
      <c r="J473" s="15">
        <v>2</v>
      </c>
      <c r="K473" s="15">
        <f t="shared" si="141"/>
        <v>20190</v>
      </c>
      <c r="L473" s="15"/>
      <c r="M473" s="15">
        <f t="shared" si="145"/>
        <v>0</v>
      </c>
      <c r="N473" s="15"/>
      <c r="O473" s="15">
        <f t="shared" si="149"/>
        <v>0</v>
      </c>
      <c r="P473" s="15">
        <v>0.5</v>
      </c>
      <c r="Q473" s="15">
        <f t="shared" si="146"/>
        <v>5047.5</v>
      </c>
      <c r="R473" s="15"/>
      <c r="S473" s="15">
        <f t="shared" si="155"/>
        <v>0</v>
      </c>
      <c r="T473" s="15"/>
      <c r="U473" s="15">
        <f t="shared" si="156"/>
        <v>0</v>
      </c>
      <c r="V473" s="15">
        <f t="shared" si="148"/>
        <v>25237.5</v>
      </c>
      <c r="W473" s="17"/>
      <c r="X473" s="17"/>
      <c r="Y473" s="18">
        <v>0.42799999999999999</v>
      </c>
      <c r="Z473" s="21"/>
      <c r="AA473" s="21">
        <v>1</v>
      </c>
      <c r="AB473" s="1">
        <f t="shared" si="166"/>
        <v>10095</v>
      </c>
      <c r="AC473" s="21"/>
      <c r="AE473" s="19"/>
      <c r="AF473" s="20">
        <f>SUMIF('[1]G-Chart'!G:G,[1]Capacity!D473,'[1]G-Chart'!L:L)</f>
        <v>2038</v>
      </c>
      <c r="AG473" s="2">
        <f t="shared" si="159"/>
        <v>4076</v>
      </c>
      <c r="AH473" s="2">
        <f t="shared" si="160"/>
        <v>0</v>
      </c>
      <c r="AI473" s="2">
        <f t="shared" si="164"/>
        <v>0</v>
      </c>
      <c r="AJ473" s="1">
        <f t="shared" si="165"/>
        <v>1019</v>
      </c>
      <c r="AK473" s="1">
        <f t="shared" si="161"/>
        <v>0</v>
      </c>
      <c r="AL473" s="1">
        <f t="shared" si="162"/>
        <v>0</v>
      </c>
      <c r="AM473" s="1">
        <f t="shared" si="163"/>
        <v>5095</v>
      </c>
    </row>
    <row r="474" spans="1:39" x14ac:dyDescent="0.3">
      <c r="A474" s="12">
        <v>472</v>
      </c>
      <c r="B474" s="62" t="s">
        <v>1088</v>
      </c>
      <c r="C474" s="63" t="s">
        <v>1106</v>
      </c>
      <c r="D474" s="63" t="s">
        <v>1106</v>
      </c>
      <c r="E474" s="59" t="s">
        <v>1107</v>
      </c>
      <c r="F474" s="15">
        <f t="shared" si="142"/>
        <v>0</v>
      </c>
      <c r="G474" s="16">
        <f t="shared" si="154"/>
        <v>0</v>
      </c>
      <c r="H474" s="15"/>
      <c r="I474" s="15">
        <f t="shared" si="140"/>
        <v>0</v>
      </c>
      <c r="J474" s="15"/>
      <c r="K474" s="15">
        <f t="shared" si="141"/>
        <v>0</v>
      </c>
      <c r="L474" s="15"/>
      <c r="M474" s="15">
        <f t="shared" si="145"/>
        <v>0</v>
      </c>
      <c r="N474" s="15"/>
      <c r="O474" s="15">
        <f t="shared" si="149"/>
        <v>0</v>
      </c>
      <c r="P474" s="15"/>
      <c r="Q474" s="15">
        <f t="shared" si="146"/>
        <v>0</v>
      </c>
      <c r="R474" s="15"/>
      <c r="S474" s="15">
        <f t="shared" si="155"/>
        <v>0</v>
      </c>
      <c r="T474" s="15"/>
      <c r="U474" s="15">
        <f t="shared" si="156"/>
        <v>0</v>
      </c>
      <c r="V474" s="15">
        <f t="shared" si="148"/>
        <v>0</v>
      </c>
      <c r="W474" s="17"/>
      <c r="X474" s="17"/>
      <c r="Y474" s="18">
        <v>0.48699999999999999</v>
      </c>
      <c r="Z474" s="21"/>
      <c r="AA474" s="21">
        <v>1</v>
      </c>
      <c r="AB474" s="1">
        <v>0</v>
      </c>
      <c r="AC474" s="21"/>
      <c r="AE474" s="19"/>
      <c r="AF474" s="20">
        <f>SUMIF('[1]G-Chart'!G:G,[1]Capacity!D474,'[1]G-Chart'!L:L)</f>
        <v>-22554</v>
      </c>
      <c r="AG474" s="2">
        <f t="shared" si="159"/>
        <v>0</v>
      </c>
      <c r="AH474" s="2">
        <f t="shared" si="160"/>
        <v>0</v>
      </c>
      <c r="AI474" s="2">
        <f t="shared" si="164"/>
        <v>0</v>
      </c>
      <c r="AJ474" s="1">
        <f t="shared" si="165"/>
        <v>0</v>
      </c>
      <c r="AK474" s="1">
        <f t="shared" si="161"/>
        <v>0</v>
      </c>
      <c r="AL474" s="1">
        <f t="shared" si="162"/>
        <v>0</v>
      </c>
      <c r="AM474" s="1">
        <f t="shared" si="163"/>
        <v>0</v>
      </c>
    </row>
    <row r="475" spans="1:39" x14ac:dyDescent="0.3">
      <c r="A475" s="12">
        <v>473</v>
      </c>
      <c r="B475" s="58" t="s">
        <v>1088</v>
      </c>
      <c r="C475" s="59" t="s">
        <v>1108</v>
      </c>
      <c r="D475" s="59" t="s">
        <v>1108</v>
      </c>
      <c r="E475" s="59" t="s">
        <v>1109</v>
      </c>
      <c r="F475" s="15">
        <f t="shared" si="142"/>
        <v>10095</v>
      </c>
      <c r="G475" s="16">
        <f t="shared" si="154"/>
        <v>5</v>
      </c>
      <c r="H475" s="15"/>
      <c r="I475" s="15">
        <f t="shared" si="140"/>
        <v>0</v>
      </c>
      <c r="J475" s="15">
        <v>3</v>
      </c>
      <c r="K475" s="15">
        <f t="shared" si="141"/>
        <v>30285</v>
      </c>
      <c r="L475" s="15">
        <v>2</v>
      </c>
      <c r="M475" s="15">
        <f t="shared" si="145"/>
        <v>20190</v>
      </c>
      <c r="N475" s="15"/>
      <c r="O475" s="15">
        <f t="shared" si="149"/>
        <v>0</v>
      </c>
      <c r="P475" s="15"/>
      <c r="Q475" s="15">
        <f t="shared" si="146"/>
        <v>0</v>
      </c>
      <c r="R475" s="15"/>
      <c r="S475" s="15">
        <f t="shared" si="155"/>
        <v>0</v>
      </c>
      <c r="T475" s="15"/>
      <c r="U475" s="15">
        <f t="shared" si="156"/>
        <v>0</v>
      </c>
      <c r="V475" s="15">
        <f t="shared" si="148"/>
        <v>50475</v>
      </c>
      <c r="W475" s="17"/>
      <c r="X475" s="17"/>
      <c r="Y475" s="18">
        <v>0.22900000000000001</v>
      </c>
      <c r="Z475" s="21"/>
      <c r="AA475" s="21">
        <v>1</v>
      </c>
      <c r="AB475" s="1">
        <f t="shared" si="166"/>
        <v>10095</v>
      </c>
      <c r="AC475" s="21"/>
      <c r="AE475" s="19"/>
      <c r="AF475" s="20">
        <f>SUMIF('[1]G-Chart'!G:G,[1]Capacity!D475,'[1]G-Chart'!L:L)</f>
        <v>364</v>
      </c>
      <c r="AG475" s="2">
        <f t="shared" si="159"/>
        <v>1092</v>
      </c>
      <c r="AH475" s="2">
        <f t="shared" si="160"/>
        <v>728</v>
      </c>
      <c r="AI475" s="2">
        <f t="shared" si="164"/>
        <v>0</v>
      </c>
      <c r="AJ475" s="1">
        <f t="shared" si="165"/>
        <v>0</v>
      </c>
      <c r="AK475" s="1">
        <f t="shared" si="161"/>
        <v>0</v>
      </c>
      <c r="AL475" s="1">
        <f t="shared" si="162"/>
        <v>0</v>
      </c>
      <c r="AM475" s="1">
        <f t="shared" si="163"/>
        <v>1820</v>
      </c>
    </row>
    <row r="476" spans="1:39" x14ac:dyDescent="0.3">
      <c r="A476" s="12">
        <v>474</v>
      </c>
      <c r="B476" s="58" t="s">
        <v>1088</v>
      </c>
      <c r="C476" s="59" t="s">
        <v>1110</v>
      </c>
      <c r="D476" s="59" t="s">
        <v>1110</v>
      </c>
      <c r="E476" s="59" t="s">
        <v>1097</v>
      </c>
      <c r="F476" s="15">
        <f t="shared" si="142"/>
        <v>10095</v>
      </c>
      <c r="G476" s="16">
        <f t="shared" si="154"/>
        <v>4</v>
      </c>
      <c r="H476" s="15"/>
      <c r="I476" s="15">
        <f t="shared" si="140"/>
        <v>0</v>
      </c>
      <c r="J476" s="15"/>
      <c r="K476" s="15">
        <f t="shared" si="141"/>
        <v>0</v>
      </c>
      <c r="L476" s="15">
        <v>2</v>
      </c>
      <c r="M476" s="15">
        <f t="shared" si="145"/>
        <v>20190</v>
      </c>
      <c r="N476" s="15">
        <v>1</v>
      </c>
      <c r="O476" s="15">
        <f t="shared" si="149"/>
        <v>10095</v>
      </c>
      <c r="P476" s="15">
        <v>1</v>
      </c>
      <c r="Q476" s="15">
        <f t="shared" si="146"/>
        <v>10095</v>
      </c>
      <c r="R476" s="15"/>
      <c r="S476" s="15">
        <f t="shared" si="155"/>
        <v>0</v>
      </c>
      <c r="T476" s="15"/>
      <c r="U476" s="15">
        <f t="shared" si="156"/>
        <v>0</v>
      </c>
      <c r="V476" s="15">
        <f t="shared" si="148"/>
        <v>40380</v>
      </c>
      <c r="W476" s="17"/>
      <c r="X476" s="17"/>
      <c r="Y476" s="18">
        <v>0.57999999999999996</v>
      </c>
      <c r="Z476" s="21"/>
      <c r="AA476" s="21">
        <v>1</v>
      </c>
      <c r="AB476" s="1">
        <f t="shared" si="166"/>
        <v>10095</v>
      </c>
      <c r="AC476" s="21"/>
      <c r="AE476" s="19"/>
      <c r="AF476" s="20">
        <f>SUMIF('[1]G-Chart'!G:G,[1]Capacity!D476,'[1]G-Chart'!L:L)</f>
        <v>1771</v>
      </c>
      <c r="AG476" s="2">
        <f t="shared" si="159"/>
        <v>0</v>
      </c>
      <c r="AH476" s="2">
        <f t="shared" si="160"/>
        <v>3542</v>
      </c>
      <c r="AI476" s="2">
        <f t="shared" si="164"/>
        <v>1771</v>
      </c>
      <c r="AJ476" s="1">
        <f t="shared" si="165"/>
        <v>1771</v>
      </c>
      <c r="AK476" s="1">
        <f t="shared" si="161"/>
        <v>0</v>
      </c>
      <c r="AL476" s="1">
        <f t="shared" si="162"/>
        <v>0</v>
      </c>
      <c r="AM476" s="1">
        <f t="shared" si="163"/>
        <v>7084</v>
      </c>
    </row>
    <row r="477" spans="1:39" x14ac:dyDescent="0.3">
      <c r="A477" s="12">
        <v>475</v>
      </c>
      <c r="B477" s="58" t="s">
        <v>1088</v>
      </c>
      <c r="C477" s="59" t="s">
        <v>1111</v>
      </c>
      <c r="D477" s="59" t="s">
        <v>1111</v>
      </c>
      <c r="E477" s="59" t="s">
        <v>1112</v>
      </c>
      <c r="F477" s="15">
        <f t="shared" si="142"/>
        <v>10095</v>
      </c>
      <c r="G477" s="16">
        <f t="shared" si="154"/>
        <v>4</v>
      </c>
      <c r="H477" s="15"/>
      <c r="I477" s="15">
        <f t="shared" si="140"/>
        <v>0</v>
      </c>
      <c r="J477" s="15"/>
      <c r="K477" s="15">
        <f t="shared" si="141"/>
        <v>0</v>
      </c>
      <c r="L477" s="15">
        <v>2</v>
      </c>
      <c r="M477" s="15">
        <f t="shared" si="145"/>
        <v>20190</v>
      </c>
      <c r="N477" s="15">
        <v>1</v>
      </c>
      <c r="O477" s="15">
        <f t="shared" si="149"/>
        <v>10095</v>
      </c>
      <c r="P477" s="15">
        <v>1</v>
      </c>
      <c r="Q477" s="15">
        <f t="shared" si="146"/>
        <v>10095</v>
      </c>
      <c r="R477" s="15"/>
      <c r="S477" s="15">
        <f t="shared" si="155"/>
        <v>0</v>
      </c>
      <c r="T477" s="15"/>
      <c r="U477" s="15">
        <f t="shared" si="156"/>
        <v>0</v>
      </c>
      <c r="V477" s="15">
        <f t="shared" si="148"/>
        <v>40380</v>
      </c>
      <c r="W477" s="17"/>
      <c r="X477" s="17"/>
      <c r="Y477" s="18">
        <v>0.53</v>
      </c>
      <c r="Z477" s="21"/>
      <c r="AA477" s="21">
        <v>1</v>
      </c>
      <c r="AB477" s="1">
        <f t="shared" si="166"/>
        <v>10095</v>
      </c>
      <c r="AC477" s="21"/>
      <c r="AE477" s="19"/>
      <c r="AF477" s="20">
        <f>SUMIF('[1]G-Chart'!G:G,[1]Capacity!D477,'[1]G-Chart'!L:L)</f>
        <v>1444</v>
      </c>
      <c r="AG477" s="2">
        <f t="shared" si="159"/>
        <v>0</v>
      </c>
      <c r="AH477" s="2">
        <f t="shared" si="160"/>
        <v>2888</v>
      </c>
      <c r="AI477" s="2">
        <f t="shared" si="164"/>
        <v>1444</v>
      </c>
      <c r="AJ477" s="1">
        <f t="shared" si="165"/>
        <v>1444</v>
      </c>
      <c r="AK477" s="1">
        <f t="shared" si="161"/>
        <v>0</v>
      </c>
      <c r="AL477" s="1">
        <f t="shared" si="162"/>
        <v>0</v>
      </c>
      <c r="AM477" s="1">
        <f t="shared" si="163"/>
        <v>5776</v>
      </c>
    </row>
    <row r="478" spans="1:39" x14ac:dyDescent="0.3">
      <c r="A478" s="12">
        <v>476</v>
      </c>
      <c r="B478" s="58" t="s">
        <v>1088</v>
      </c>
      <c r="C478" s="59" t="s">
        <v>1113</v>
      </c>
      <c r="D478" s="59" t="s">
        <v>1113</v>
      </c>
      <c r="E478" s="59" t="s">
        <v>1114</v>
      </c>
      <c r="F478" s="15">
        <f t="shared" si="142"/>
        <v>10095</v>
      </c>
      <c r="G478" s="16">
        <f t="shared" si="154"/>
        <v>5</v>
      </c>
      <c r="H478" s="15"/>
      <c r="I478" s="15">
        <f t="shared" si="140"/>
        <v>0</v>
      </c>
      <c r="J478" s="15">
        <v>5</v>
      </c>
      <c r="K478" s="15">
        <f t="shared" si="141"/>
        <v>50475</v>
      </c>
      <c r="L478" s="15"/>
      <c r="M478" s="15">
        <f t="shared" si="145"/>
        <v>0</v>
      </c>
      <c r="N478" s="15"/>
      <c r="O478" s="15">
        <f t="shared" si="149"/>
        <v>0</v>
      </c>
      <c r="P478" s="15"/>
      <c r="Q478" s="15">
        <f t="shared" si="146"/>
        <v>0</v>
      </c>
      <c r="R478" s="15"/>
      <c r="S478" s="15">
        <f t="shared" si="155"/>
        <v>0</v>
      </c>
      <c r="T478" s="15"/>
      <c r="U478" s="15">
        <f t="shared" si="156"/>
        <v>0</v>
      </c>
      <c r="V478" s="15">
        <f t="shared" si="148"/>
        <v>50475</v>
      </c>
      <c r="W478" s="17"/>
      <c r="X478" s="17"/>
      <c r="Y478" s="18">
        <v>0.3</v>
      </c>
      <c r="Z478" s="21"/>
      <c r="AA478" s="21">
        <v>1</v>
      </c>
      <c r="AB478" s="1">
        <f t="shared" si="166"/>
        <v>10095</v>
      </c>
      <c r="AC478" s="21"/>
      <c r="AE478" s="19"/>
      <c r="AF478" s="20">
        <f>SUMIF('[1]G-Chart'!G:G,[1]Capacity!D478,'[1]G-Chart'!L:L)</f>
        <v>1622</v>
      </c>
      <c r="AG478" s="2">
        <f t="shared" si="159"/>
        <v>8110</v>
      </c>
      <c r="AH478" s="2">
        <f t="shared" si="160"/>
        <v>0</v>
      </c>
      <c r="AI478" s="2">
        <f t="shared" si="164"/>
        <v>0</v>
      </c>
      <c r="AJ478" s="1">
        <f t="shared" si="165"/>
        <v>0</v>
      </c>
      <c r="AK478" s="1">
        <f t="shared" si="161"/>
        <v>0</v>
      </c>
      <c r="AL478" s="1">
        <f t="shared" si="162"/>
        <v>0</v>
      </c>
      <c r="AM478" s="1">
        <f t="shared" si="163"/>
        <v>8110</v>
      </c>
    </row>
    <row r="479" spans="1:39" x14ac:dyDescent="0.3">
      <c r="A479" s="12">
        <v>477</v>
      </c>
      <c r="B479" s="58" t="s">
        <v>1088</v>
      </c>
      <c r="C479" s="59" t="s">
        <v>1115</v>
      </c>
      <c r="D479" s="59" t="s">
        <v>1115</v>
      </c>
      <c r="E479" s="59" t="s">
        <v>1116</v>
      </c>
      <c r="F479" s="15">
        <f t="shared" si="142"/>
        <v>10095</v>
      </c>
      <c r="G479" s="16">
        <f t="shared" si="154"/>
        <v>2.5</v>
      </c>
      <c r="H479" s="15"/>
      <c r="I479" s="15">
        <f t="shared" si="140"/>
        <v>0</v>
      </c>
      <c r="J479" s="15">
        <v>1.5</v>
      </c>
      <c r="K479" s="15">
        <f t="shared" si="141"/>
        <v>15142.5</v>
      </c>
      <c r="L479" s="15">
        <v>1</v>
      </c>
      <c r="M479" s="15">
        <f t="shared" si="145"/>
        <v>10095</v>
      </c>
      <c r="N479" s="15"/>
      <c r="O479" s="15">
        <f t="shared" si="149"/>
        <v>0</v>
      </c>
      <c r="P479" s="15"/>
      <c r="Q479" s="15">
        <f t="shared" si="146"/>
        <v>0</v>
      </c>
      <c r="R479" s="15"/>
      <c r="S479" s="15">
        <f t="shared" si="155"/>
        <v>0</v>
      </c>
      <c r="T479" s="15"/>
      <c r="U479" s="15">
        <f t="shared" si="156"/>
        <v>0</v>
      </c>
      <c r="V479" s="15">
        <f t="shared" si="148"/>
        <v>25237.5</v>
      </c>
      <c r="W479" s="17"/>
      <c r="X479" s="17"/>
      <c r="Y479" s="18">
        <v>0.45</v>
      </c>
      <c r="Z479" s="21"/>
      <c r="AA479" s="21">
        <v>1</v>
      </c>
      <c r="AB479" s="1">
        <f t="shared" si="166"/>
        <v>10095</v>
      </c>
      <c r="AC479" s="21"/>
      <c r="AE479" s="19"/>
      <c r="AF479" s="20">
        <f>SUMIF('[1]G-Chart'!G:G,[1]Capacity!D479,'[1]G-Chart'!L:L)</f>
        <v>3000</v>
      </c>
      <c r="AG479" s="2">
        <f t="shared" si="159"/>
        <v>4500</v>
      </c>
      <c r="AH479" s="2">
        <f t="shared" si="160"/>
        <v>3000</v>
      </c>
      <c r="AI479" s="2">
        <f t="shared" si="164"/>
        <v>0</v>
      </c>
      <c r="AJ479" s="1">
        <f t="shared" si="165"/>
        <v>0</v>
      </c>
      <c r="AK479" s="1">
        <f t="shared" si="161"/>
        <v>0</v>
      </c>
      <c r="AL479" s="1">
        <f t="shared" si="162"/>
        <v>0</v>
      </c>
      <c r="AM479" s="1">
        <f t="shared" si="163"/>
        <v>7500</v>
      </c>
    </row>
    <row r="480" spans="1:39" x14ac:dyDescent="0.3">
      <c r="A480" s="12">
        <v>478</v>
      </c>
      <c r="B480" s="58" t="s">
        <v>1088</v>
      </c>
      <c r="C480" s="59" t="s">
        <v>1117</v>
      </c>
      <c r="D480" s="59" t="s">
        <v>1117</v>
      </c>
      <c r="E480" s="59" t="s">
        <v>1118</v>
      </c>
      <c r="F480" s="15">
        <f t="shared" si="142"/>
        <v>10095</v>
      </c>
      <c r="G480" s="16">
        <f t="shared" si="154"/>
        <v>2.5</v>
      </c>
      <c r="H480" s="15"/>
      <c r="I480" s="15">
        <f t="shared" si="140"/>
        <v>0</v>
      </c>
      <c r="J480" s="15">
        <v>1.5</v>
      </c>
      <c r="K480" s="15">
        <f t="shared" si="141"/>
        <v>15142.5</v>
      </c>
      <c r="L480" s="15">
        <v>1</v>
      </c>
      <c r="M480" s="15">
        <f t="shared" si="145"/>
        <v>10095</v>
      </c>
      <c r="N480" s="15"/>
      <c r="O480" s="15">
        <f t="shared" si="149"/>
        <v>0</v>
      </c>
      <c r="P480" s="15"/>
      <c r="Q480" s="15">
        <f t="shared" si="146"/>
        <v>0</v>
      </c>
      <c r="R480" s="15"/>
      <c r="S480" s="15">
        <f t="shared" si="155"/>
        <v>0</v>
      </c>
      <c r="T480" s="15"/>
      <c r="U480" s="15">
        <f t="shared" si="156"/>
        <v>0</v>
      </c>
      <c r="V480" s="15">
        <f t="shared" si="148"/>
        <v>25237.5</v>
      </c>
      <c r="W480" s="17"/>
      <c r="X480" s="17"/>
      <c r="Y480" s="18">
        <v>0.45</v>
      </c>
      <c r="Z480" s="21"/>
      <c r="AA480" s="21">
        <v>1</v>
      </c>
      <c r="AB480" s="1">
        <f t="shared" si="166"/>
        <v>10095</v>
      </c>
      <c r="AC480" s="21"/>
      <c r="AE480" s="19"/>
      <c r="AF480" s="20">
        <f>SUMIF('[1]G-Chart'!G:G,[1]Capacity!D480,'[1]G-Chart'!L:L)</f>
        <v>3000</v>
      </c>
      <c r="AG480" s="2">
        <f t="shared" si="159"/>
        <v>4500</v>
      </c>
      <c r="AH480" s="2">
        <f t="shared" si="160"/>
        <v>3000</v>
      </c>
      <c r="AI480" s="2">
        <f t="shared" si="164"/>
        <v>0</v>
      </c>
      <c r="AJ480" s="1">
        <f t="shared" si="165"/>
        <v>0</v>
      </c>
      <c r="AK480" s="1">
        <f t="shared" si="161"/>
        <v>0</v>
      </c>
      <c r="AL480" s="1">
        <f t="shared" si="162"/>
        <v>0</v>
      </c>
      <c r="AM480" s="1">
        <f t="shared" si="163"/>
        <v>7500</v>
      </c>
    </row>
    <row r="481" spans="1:39" x14ac:dyDescent="0.3">
      <c r="A481" s="12">
        <v>479</v>
      </c>
      <c r="B481" s="58" t="s">
        <v>1088</v>
      </c>
      <c r="C481" s="59" t="s">
        <v>1119</v>
      </c>
      <c r="D481" s="59" t="s">
        <v>1119</v>
      </c>
      <c r="E481" s="59" t="s">
        <v>1120</v>
      </c>
      <c r="F481" s="15">
        <f t="shared" si="142"/>
        <v>10095</v>
      </c>
      <c r="G481" s="16">
        <f t="shared" si="154"/>
        <v>3</v>
      </c>
      <c r="H481" s="15"/>
      <c r="I481" s="15">
        <f t="shared" ref="I481:I490" si="167">H481*F481</f>
        <v>0</v>
      </c>
      <c r="J481" s="15"/>
      <c r="K481" s="15">
        <f t="shared" si="141"/>
        <v>0</v>
      </c>
      <c r="L481" s="15"/>
      <c r="M481" s="15">
        <f t="shared" si="145"/>
        <v>0</v>
      </c>
      <c r="N481" s="15">
        <v>1</v>
      </c>
      <c r="O481" s="15">
        <f t="shared" si="149"/>
        <v>10095</v>
      </c>
      <c r="P481" s="15">
        <v>1</v>
      </c>
      <c r="Q481" s="15">
        <f t="shared" si="146"/>
        <v>10095</v>
      </c>
      <c r="R481" s="15">
        <v>1</v>
      </c>
      <c r="S481" s="15">
        <f t="shared" si="155"/>
        <v>10095</v>
      </c>
      <c r="T481" s="15"/>
      <c r="U481" s="15">
        <f t="shared" si="156"/>
        <v>0</v>
      </c>
      <c r="V481" s="15">
        <f t="shared" si="148"/>
        <v>30285</v>
      </c>
      <c r="W481" s="17"/>
      <c r="X481" s="17"/>
      <c r="Y481" s="18">
        <v>0.2</v>
      </c>
      <c r="Z481" s="21"/>
      <c r="AA481" s="21">
        <v>1</v>
      </c>
      <c r="AB481" s="1">
        <f t="shared" si="166"/>
        <v>10095</v>
      </c>
      <c r="AC481" s="21"/>
      <c r="AE481" s="19"/>
      <c r="AF481" s="20">
        <f>SUMIF('[1]G-Chart'!G:G,[1]Capacity!D481,'[1]G-Chart'!L:L)</f>
        <v>6288</v>
      </c>
      <c r="AG481" s="2">
        <f t="shared" si="159"/>
        <v>0</v>
      </c>
      <c r="AH481" s="2">
        <f t="shared" si="160"/>
        <v>0</v>
      </c>
      <c r="AI481" s="2">
        <f t="shared" si="164"/>
        <v>6288</v>
      </c>
      <c r="AJ481" s="1">
        <f t="shared" si="165"/>
        <v>6288</v>
      </c>
      <c r="AK481" s="1">
        <f t="shared" si="161"/>
        <v>6288</v>
      </c>
      <c r="AL481" s="1">
        <f t="shared" si="162"/>
        <v>0</v>
      </c>
      <c r="AM481" s="1">
        <f t="shared" si="163"/>
        <v>18864</v>
      </c>
    </row>
    <row r="482" spans="1:39" x14ac:dyDescent="0.3">
      <c r="A482" s="12">
        <v>480</v>
      </c>
      <c r="B482" s="58" t="s">
        <v>1088</v>
      </c>
      <c r="C482" s="59" t="s">
        <v>1121</v>
      </c>
      <c r="D482" s="59" t="s">
        <v>1121</v>
      </c>
      <c r="E482" s="59" t="s">
        <v>1122</v>
      </c>
      <c r="F482" s="15">
        <f t="shared" si="142"/>
        <v>10095</v>
      </c>
      <c r="G482" s="16">
        <f t="shared" si="154"/>
        <v>3</v>
      </c>
      <c r="H482" s="15"/>
      <c r="I482" s="15">
        <f t="shared" si="167"/>
        <v>0</v>
      </c>
      <c r="J482" s="15"/>
      <c r="K482" s="15">
        <f t="shared" si="141"/>
        <v>0</v>
      </c>
      <c r="L482" s="15"/>
      <c r="M482" s="15">
        <f t="shared" si="145"/>
        <v>0</v>
      </c>
      <c r="N482" s="15">
        <v>1</v>
      </c>
      <c r="O482" s="15">
        <f t="shared" si="149"/>
        <v>10095</v>
      </c>
      <c r="P482" s="15">
        <v>1</v>
      </c>
      <c r="Q482" s="15">
        <f t="shared" si="146"/>
        <v>10095</v>
      </c>
      <c r="R482" s="15">
        <v>1</v>
      </c>
      <c r="S482" s="15">
        <f t="shared" si="155"/>
        <v>10095</v>
      </c>
      <c r="T482" s="15"/>
      <c r="U482" s="15">
        <f t="shared" si="156"/>
        <v>0</v>
      </c>
      <c r="V482" s="15">
        <f t="shared" si="148"/>
        <v>30285</v>
      </c>
      <c r="W482" s="17"/>
      <c r="X482" s="17"/>
      <c r="Y482" s="18">
        <v>0.2</v>
      </c>
      <c r="Z482" s="21"/>
      <c r="AA482" s="21">
        <v>1</v>
      </c>
      <c r="AB482" s="1">
        <f t="shared" si="166"/>
        <v>10095</v>
      </c>
      <c r="AC482" s="21"/>
      <c r="AE482" s="19"/>
      <c r="AF482" s="20">
        <f>SUMIF('[1]G-Chart'!G:G,[1]Capacity!D482,'[1]G-Chart'!L:L)</f>
        <v>12832</v>
      </c>
      <c r="AG482" s="2">
        <f t="shared" si="159"/>
        <v>0</v>
      </c>
      <c r="AH482" s="2">
        <f t="shared" si="160"/>
        <v>0</v>
      </c>
      <c r="AI482" s="2">
        <f t="shared" si="164"/>
        <v>12832</v>
      </c>
      <c r="AJ482" s="1">
        <f t="shared" si="165"/>
        <v>12832</v>
      </c>
      <c r="AK482" s="1">
        <f t="shared" si="161"/>
        <v>12832</v>
      </c>
      <c r="AL482" s="1">
        <f t="shared" si="162"/>
        <v>0</v>
      </c>
      <c r="AM482" s="1">
        <f t="shared" si="163"/>
        <v>38496</v>
      </c>
    </row>
    <row r="483" spans="1:39" x14ac:dyDescent="0.3">
      <c r="A483" s="12">
        <v>481</v>
      </c>
      <c r="B483" s="58" t="s">
        <v>1088</v>
      </c>
      <c r="C483" s="59" t="s">
        <v>1123</v>
      </c>
      <c r="D483" s="59" t="s">
        <v>1123</v>
      </c>
      <c r="E483" s="59" t="s">
        <v>1124</v>
      </c>
      <c r="F483" s="15">
        <f t="shared" si="142"/>
        <v>10095</v>
      </c>
      <c r="G483" s="16">
        <f t="shared" si="154"/>
        <v>2</v>
      </c>
      <c r="H483" s="15"/>
      <c r="I483" s="15">
        <f t="shared" si="167"/>
        <v>0</v>
      </c>
      <c r="J483" s="15"/>
      <c r="K483" s="15">
        <f t="shared" si="141"/>
        <v>0</v>
      </c>
      <c r="L483" s="15"/>
      <c r="M483" s="15">
        <f t="shared" si="145"/>
        <v>0</v>
      </c>
      <c r="N483" s="15"/>
      <c r="O483" s="15">
        <f t="shared" si="149"/>
        <v>0</v>
      </c>
      <c r="P483" s="15"/>
      <c r="Q483" s="15">
        <f t="shared" si="146"/>
        <v>0</v>
      </c>
      <c r="R483" s="15">
        <v>2</v>
      </c>
      <c r="S483" s="15">
        <f t="shared" si="155"/>
        <v>20190</v>
      </c>
      <c r="T483" s="15"/>
      <c r="U483" s="15">
        <f t="shared" si="156"/>
        <v>0</v>
      </c>
      <c r="V483" s="15">
        <f t="shared" si="148"/>
        <v>20190</v>
      </c>
      <c r="W483" s="17"/>
      <c r="X483" s="17"/>
      <c r="Y483" s="18">
        <v>7.0000000000000007E-2</v>
      </c>
      <c r="Z483" s="21"/>
      <c r="AA483" s="21">
        <v>1</v>
      </c>
      <c r="AB483" s="1">
        <f t="shared" si="166"/>
        <v>10095</v>
      </c>
      <c r="AC483" s="21"/>
      <c r="AE483" s="19"/>
      <c r="AF483" s="20">
        <f>SUMIF('[1]G-Chart'!G:G,[1]Capacity!D483,'[1]G-Chart'!L:L)</f>
        <v>7566</v>
      </c>
      <c r="AG483" s="2">
        <f t="shared" si="159"/>
        <v>0</v>
      </c>
      <c r="AH483" s="2">
        <f t="shared" si="160"/>
        <v>0</v>
      </c>
      <c r="AI483" s="2">
        <f t="shared" si="164"/>
        <v>0</v>
      </c>
      <c r="AJ483" s="1">
        <f t="shared" si="165"/>
        <v>0</v>
      </c>
      <c r="AK483" s="1">
        <f t="shared" si="161"/>
        <v>15132</v>
      </c>
      <c r="AL483" s="1">
        <f t="shared" si="162"/>
        <v>0</v>
      </c>
      <c r="AM483" s="1">
        <f t="shared" si="163"/>
        <v>15132</v>
      </c>
    </row>
    <row r="484" spans="1:39" x14ac:dyDescent="0.3">
      <c r="A484" s="12">
        <v>482</v>
      </c>
      <c r="B484" s="68" t="s">
        <v>1088</v>
      </c>
      <c r="C484" s="69" t="s">
        <v>1125</v>
      </c>
      <c r="D484" s="69" t="s">
        <v>1125</v>
      </c>
      <c r="E484" s="59" t="s">
        <v>1126</v>
      </c>
      <c r="F484" s="15">
        <f t="shared" si="142"/>
        <v>0</v>
      </c>
      <c r="G484" s="16">
        <f t="shared" si="154"/>
        <v>0</v>
      </c>
      <c r="H484" s="15"/>
      <c r="I484" s="15">
        <f t="shared" si="167"/>
        <v>0</v>
      </c>
      <c r="J484" s="15"/>
      <c r="K484" s="15">
        <f t="shared" si="141"/>
        <v>0</v>
      </c>
      <c r="L484" s="15"/>
      <c r="M484" s="15">
        <f t="shared" si="145"/>
        <v>0</v>
      </c>
      <c r="N484" s="15"/>
      <c r="O484" s="15">
        <f t="shared" si="149"/>
        <v>0</v>
      </c>
      <c r="P484" s="15"/>
      <c r="Q484" s="15">
        <f t="shared" si="146"/>
        <v>0</v>
      </c>
      <c r="R484" s="15"/>
      <c r="S484" s="15">
        <f t="shared" si="155"/>
        <v>0</v>
      </c>
      <c r="T484" s="15"/>
      <c r="U484" s="15">
        <f t="shared" si="156"/>
        <v>0</v>
      </c>
      <c r="V484" s="15">
        <f t="shared" si="148"/>
        <v>0</v>
      </c>
      <c r="W484" s="17"/>
      <c r="X484" s="17"/>
      <c r="Y484" s="18">
        <v>1.6</v>
      </c>
      <c r="Z484" s="21"/>
      <c r="AA484" s="21">
        <v>1</v>
      </c>
      <c r="AC484" s="21"/>
      <c r="AE484" s="19"/>
      <c r="AF484" s="20">
        <f>SUMIF('[1]G-Chart'!G:G,[1]Capacity!D484,'[1]G-Chart'!L:L)</f>
        <v>0</v>
      </c>
      <c r="AG484" s="2">
        <f t="shared" si="159"/>
        <v>0</v>
      </c>
      <c r="AH484" s="2">
        <f t="shared" si="160"/>
        <v>0</v>
      </c>
      <c r="AI484" s="2">
        <f t="shared" si="164"/>
        <v>0</v>
      </c>
      <c r="AJ484" s="1">
        <f t="shared" si="165"/>
        <v>0</v>
      </c>
      <c r="AK484" s="1">
        <f t="shared" si="161"/>
        <v>0</v>
      </c>
      <c r="AL484" s="1">
        <f t="shared" si="162"/>
        <v>0</v>
      </c>
      <c r="AM484" s="1">
        <f t="shared" si="163"/>
        <v>0</v>
      </c>
    </row>
    <row r="485" spans="1:39" x14ac:dyDescent="0.3">
      <c r="A485" s="12">
        <v>483</v>
      </c>
      <c r="B485" s="58" t="s">
        <v>1088</v>
      </c>
      <c r="C485" s="59" t="s">
        <v>1127</v>
      </c>
      <c r="D485" s="59" t="s">
        <v>1127</v>
      </c>
      <c r="E485" s="59" t="s">
        <v>1128</v>
      </c>
      <c r="F485" s="15">
        <f t="shared" si="142"/>
        <v>10095</v>
      </c>
      <c r="G485" s="16">
        <f t="shared" si="154"/>
        <v>2</v>
      </c>
      <c r="H485" s="15"/>
      <c r="I485" s="15">
        <f t="shared" si="167"/>
        <v>0</v>
      </c>
      <c r="J485" s="15"/>
      <c r="K485" s="15">
        <f t="shared" si="141"/>
        <v>0</v>
      </c>
      <c r="L485" s="15"/>
      <c r="M485" s="15">
        <f t="shared" si="145"/>
        <v>0</v>
      </c>
      <c r="N485" s="15">
        <v>0.5</v>
      </c>
      <c r="O485" s="15">
        <f t="shared" si="149"/>
        <v>5047.5</v>
      </c>
      <c r="P485" s="15">
        <v>1</v>
      </c>
      <c r="Q485" s="15">
        <f t="shared" si="146"/>
        <v>10095</v>
      </c>
      <c r="R485" s="15">
        <v>0.5</v>
      </c>
      <c r="S485" s="15">
        <f t="shared" si="155"/>
        <v>5047.5</v>
      </c>
      <c r="T485" s="15"/>
      <c r="U485" s="15">
        <f t="shared" si="156"/>
        <v>0</v>
      </c>
      <c r="V485" s="15">
        <f t="shared" si="148"/>
        <v>20190</v>
      </c>
      <c r="W485" s="17"/>
      <c r="X485" s="17"/>
      <c r="Y485" s="18">
        <v>0.12</v>
      </c>
      <c r="Z485" s="21"/>
      <c r="AA485" s="21">
        <v>1</v>
      </c>
      <c r="AB485" s="1">
        <f t="shared" si="166"/>
        <v>10095</v>
      </c>
      <c r="AC485" s="21"/>
      <c r="AE485" s="19"/>
      <c r="AF485" s="20">
        <f>SUMIF('[1]G-Chart'!G:G,[1]Capacity!D485,'[1]G-Chart'!L:L)</f>
        <v>300</v>
      </c>
      <c r="AG485" s="2">
        <f t="shared" si="159"/>
        <v>0</v>
      </c>
      <c r="AH485" s="2">
        <f t="shared" si="160"/>
        <v>0</v>
      </c>
      <c r="AI485" s="2">
        <f t="shared" si="164"/>
        <v>150</v>
      </c>
      <c r="AJ485" s="1">
        <f t="shared" si="165"/>
        <v>300</v>
      </c>
      <c r="AK485" s="1">
        <f t="shared" si="161"/>
        <v>150</v>
      </c>
      <c r="AL485" s="1">
        <f t="shared" si="162"/>
        <v>0</v>
      </c>
      <c r="AM485" s="1">
        <f t="shared" si="163"/>
        <v>600</v>
      </c>
    </row>
    <row r="486" spans="1:39" x14ac:dyDescent="0.3">
      <c r="A486" s="12">
        <v>484</v>
      </c>
      <c r="B486" s="58" t="s">
        <v>1088</v>
      </c>
      <c r="C486" s="59" t="s">
        <v>1129</v>
      </c>
      <c r="D486" s="59" t="s">
        <v>1129</v>
      </c>
      <c r="E486" s="59" t="s">
        <v>1130</v>
      </c>
      <c r="F486" s="15">
        <f t="shared" si="142"/>
        <v>10095</v>
      </c>
      <c r="G486" s="16">
        <f t="shared" si="154"/>
        <v>2</v>
      </c>
      <c r="H486" s="15"/>
      <c r="I486" s="15">
        <f t="shared" si="167"/>
        <v>0</v>
      </c>
      <c r="J486" s="15"/>
      <c r="K486" s="15">
        <f t="shared" si="141"/>
        <v>0</v>
      </c>
      <c r="L486" s="15"/>
      <c r="M486" s="15">
        <f t="shared" ref="M486:M491" si="168">L486*F486</f>
        <v>0</v>
      </c>
      <c r="N486" s="15">
        <v>0.5</v>
      </c>
      <c r="O486" s="15">
        <f>N486*F486</f>
        <v>5047.5</v>
      </c>
      <c r="P486" s="15">
        <v>1</v>
      </c>
      <c r="Q486" s="15">
        <f t="shared" ref="Q486:Q533" si="169">P486*F486</f>
        <v>10095</v>
      </c>
      <c r="R486" s="15">
        <v>0.5</v>
      </c>
      <c r="S486" s="15">
        <f t="shared" si="155"/>
        <v>5047.5</v>
      </c>
      <c r="T486" s="15"/>
      <c r="U486" s="15">
        <f t="shared" si="156"/>
        <v>0</v>
      </c>
      <c r="V486" s="15">
        <f t="shared" si="148"/>
        <v>20190</v>
      </c>
      <c r="W486" s="17"/>
      <c r="X486" s="17"/>
      <c r="Y486" s="18">
        <v>0.12</v>
      </c>
      <c r="Z486" s="21"/>
      <c r="AA486" s="21">
        <v>1</v>
      </c>
      <c r="AB486" s="1">
        <f t="shared" si="166"/>
        <v>10095</v>
      </c>
      <c r="AC486" s="21"/>
      <c r="AE486" s="19"/>
      <c r="AF486" s="20">
        <f>SUMIF('[1]G-Chart'!G:G,[1]Capacity!D486,'[1]G-Chart'!L:L)</f>
        <v>300</v>
      </c>
      <c r="AG486" s="2">
        <f t="shared" si="159"/>
        <v>0</v>
      </c>
      <c r="AH486" s="2">
        <f t="shared" si="160"/>
        <v>0</v>
      </c>
      <c r="AI486" s="2">
        <f t="shared" si="164"/>
        <v>150</v>
      </c>
      <c r="AJ486" s="1">
        <f t="shared" si="165"/>
        <v>300</v>
      </c>
      <c r="AK486" s="1">
        <f t="shared" si="161"/>
        <v>150</v>
      </c>
      <c r="AL486" s="1">
        <f t="shared" si="162"/>
        <v>0</v>
      </c>
      <c r="AM486" s="1">
        <f t="shared" si="163"/>
        <v>600</v>
      </c>
    </row>
    <row r="487" spans="1:39" x14ac:dyDescent="0.3">
      <c r="A487" s="12">
        <v>485</v>
      </c>
      <c r="B487" s="58" t="s">
        <v>1088</v>
      </c>
      <c r="C487" s="59" t="s">
        <v>1131</v>
      </c>
      <c r="D487" s="59" t="s">
        <v>1131</v>
      </c>
      <c r="E487" s="59" t="s">
        <v>1132</v>
      </c>
      <c r="F487" s="15">
        <f>+AB487</f>
        <v>10095</v>
      </c>
      <c r="G487" s="16">
        <f t="shared" si="154"/>
        <v>2</v>
      </c>
      <c r="H487" s="15"/>
      <c r="I487" s="15">
        <f t="shared" si="167"/>
        <v>0</v>
      </c>
      <c r="J487" s="15"/>
      <c r="K487" s="15">
        <f t="shared" si="141"/>
        <v>0</v>
      </c>
      <c r="L487" s="15"/>
      <c r="M487" s="15">
        <f t="shared" si="168"/>
        <v>0</v>
      </c>
      <c r="N487" s="15">
        <v>0.5</v>
      </c>
      <c r="O487" s="15">
        <f t="shared" si="149"/>
        <v>5047.5</v>
      </c>
      <c r="P487" s="15">
        <v>1</v>
      </c>
      <c r="Q487" s="15">
        <f t="shared" si="169"/>
        <v>10095</v>
      </c>
      <c r="R487" s="15">
        <v>0.5</v>
      </c>
      <c r="S487" s="15">
        <f t="shared" si="155"/>
        <v>5047.5</v>
      </c>
      <c r="T487" s="15"/>
      <c r="U487" s="15">
        <f t="shared" si="156"/>
        <v>0</v>
      </c>
      <c r="V487" s="15">
        <f t="shared" si="148"/>
        <v>20190</v>
      </c>
      <c r="W487" s="17"/>
      <c r="X487" s="17"/>
      <c r="Y487" s="18">
        <v>0.17199999999999999</v>
      </c>
      <c r="Z487" s="21"/>
      <c r="AA487" s="21">
        <v>1</v>
      </c>
      <c r="AB487" s="1">
        <f t="shared" si="166"/>
        <v>10095</v>
      </c>
      <c r="AC487" s="21"/>
      <c r="AE487" s="19"/>
      <c r="AF487" s="20">
        <f>SUMIF('[1]G-Chart'!G:G,[1]Capacity!D487,'[1]G-Chart'!L:L)</f>
        <v>2151</v>
      </c>
      <c r="AG487" s="2">
        <f t="shared" si="159"/>
        <v>0</v>
      </c>
      <c r="AH487" s="2">
        <f t="shared" si="160"/>
        <v>0</v>
      </c>
      <c r="AI487" s="2">
        <f t="shared" si="164"/>
        <v>1075.5</v>
      </c>
      <c r="AJ487" s="1">
        <f t="shared" si="165"/>
        <v>2151</v>
      </c>
      <c r="AK487" s="1">
        <f t="shared" si="161"/>
        <v>1075.5</v>
      </c>
      <c r="AL487" s="1">
        <f t="shared" si="162"/>
        <v>0</v>
      </c>
      <c r="AM487" s="1">
        <f t="shared" si="163"/>
        <v>4302</v>
      </c>
    </row>
    <row r="488" spans="1:39" x14ac:dyDescent="0.3">
      <c r="A488" s="12">
        <v>486</v>
      </c>
      <c r="B488" s="58" t="s">
        <v>1088</v>
      </c>
      <c r="C488" s="59" t="s">
        <v>1133</v>
      </c>
      <c r="D488" s="59" t="s">
        <v>1133</v>
      </c>
      <c r="E488" s="59" t="s">
        <v>1134</v>
      </c>
      <c r="F488" s="15">
        <f>+AB488</f>
        <v>10095</v>
      </c>
      <c r="G488" s="16">
        <f t="shared" si="154"/>
        <v>2</v>
      </c>
      <c r="H488" s="15"/>
      <c r="I488" s="15">
        <f t="shared" si="167"/>
        <v>0</v>
      </c>
      <c r="J488" s="15"/>
      <c r="K488" s="15">
        <f t="shared" si="141"/>
        <v>0</v>
      </c>
      <c r="L488" s="15"/>
      <c r="M488" s="15">
        <f t="shared" si="168"/>
        <v>0</v>
      </c>
      <c r="N488" s="15">
        <v>0.5</v>
      </c>
      <c r="O488" s="15">
        <f t="shared" si="149"/>
        <v>5047.5</v>
      </c>
      <c r="P488" s="15">
        <v>1</v>
      </c>
      <c r="Q488" s="15">
        <f t="shared" si="169"/>
        <v>10095</v>
      </c>
      <c r="R488" s="15">
        <v>0.5</v>
      </c>
      <c r="S488" s="15">
        <f t="shared" si="155"/>
        <v>5047.5</v>
      </c>
      <c r="T488" s="15"/>
      <c r="U488" s="15">
        <f t="shared" si="156"/>
        <v>0</v>
      </c>
      <c r="V488" s="15">
        <f t="shared" si="148"/>
        <v>20190</v>
      </c>
      <c r="W488" s="17"/>
      <c r="X488" s="17"/>
      <c r="Y488" s="18">
        <v>0.17100000000000001</v>
      </c>
      <c r="Z488" s="21"/>
      <c r="AA488" s="21">
        <v>1</v>
      </c>
      <c r="AB488" s="1">
        <f>AA488*$AD$466</f>
        <v>10095</v>
      </c>
      <c r="AC488" s="21"/>
      <c r="AE488" s="19"/>
      <c r="AF488" s="20">
        <f>SUMIF('[1]G-Chart'!G:G,[1]Capacity!D488,'[1]G-Chart'!L:L)</f>
        <v>1722</v>
      </c>
      <c r="AG488" s="2">
        <f t="shared" si="159"/>
        <v>0</v>
      </c>
      <c r="AH488" s="2">
        <f t="shared" si="160"/>
        <v>0</v>
      </c>
      <c r="AI488" s="2">
        <f t="shared" si="164"/>
        <v>861</v>
      </c>
      <c r="AJ488" s="1">
        <f t="shared" si="165"/>
        <v>1722</v>
      </c>
      <c r="AK488" s="1">
        <f t="shared" si="161"/>
        <v>861</v>
      </c>
      <c r="AL488" s="1">
        <f t="shared" si="162"/>
        <v>0</v>
      </c>
      <c r="AM488" s="1">
        <f t="shared" si="163"/>
        <v>3444</v>
      </c>
    </row>
    <row r="489" spans="1:39" x14ac:dyDescent="0.3">
      <c r="A489" s="12">
        <v>487</v>
      </c>
      <c r="B489" s="58" t="s">
        <v>1088</v>
      </c>
      <c r="C489" s="59" t="s">
        <v>1135</v>
      </c>
      <c r="D489" s="59" t="s">
        <v>1135</v>
      </c>
      <c r="E489" s="59" t="s">
        <v>1136</v>
      </c>
      <c r="F489" s="15">
        <f>+AB489</f>
        <v>10095</v>
      </c>
      <c r="G489" s="16">
        <f t="shared" si="154"/>
        <v>4</v>
      </c>
      <c r="H489" s="15"/>
      <c r="I489" s="15">
        <f t="shared" si="167"/>
        <v>0</v>
      </c>
      <c r="J489" s="15">
        <v>1</v>
      </c>
      <c r="K489" s="15">
        <f t="shared" si="141"/>
        <v>10095</v>
      </c>
      <c r="L489" s="15">
        <v>2</v>
      </c>
      <c r="M489" s="15">
        <f t="shared" si="168"/>
        <v>20190</v>
      </c>
      <c r="N489" s="15"/>
      <c r="O489" s="15">
        <f t="shared" si="149"/>
        <v>0</v>
      </c>
      <c r="P489" s="15">
        <v>1</v>
      </c>
      <c r="Q489" s="15">
        <f t="shared" si="169"/>
        <v>10095</v>
      </c>
      <c r="R489" s="15"/>
      <c r="S489" s="15">
        <f t="shared" si="155"/>
        <v>0</v>
      </c>
      <c r="T489" s="15"/>
      <c r="U489" s="15">
        <f t="shared" si="156"/>
        <v>0</v>
      </c>
      <c r="V489" s="15">
        <f t="shared" si="148"/>
        <v>40380</v>
      </c>
      <c r="W489" s="17"/>
      <c r="X489" s="17"/>
      <c r="Y489" s="18">
        <v>0.161</v>
      </c>
      <c r="Z489" s="21"/>
      <c r="AA489" s="21">
        <v>1</v>
      </c>
      <c r="AB489" s="1">
        <f t="shared" si="166"/>
        <v>10095</v>
      </c>
      <c r="AC489" s="21"/>
      <c r="AE489" s="19"/>
      <c r="AF489" s="20">
        <f>SUMIF('[1]G-Chart'!G:G,[1]Capacity!D489,'[1]G-Chart'!L:L)</f>
        <v>1997</v>
      </c>
      <c r="AG489" s="2">
        <f t="shared" si="159"/>
        <v>1997</v>
      </c>
      <c r="AH489" s="2">
        <f t="shared" si="160"/>
        <v>3994</v>
      </c>
      <c r="AI489" s="2">
        <f t="shared" si="164"/>
        <v>0</v>
      </c>
      <c r="AJ489" s="1">
        <f t="shared" si="165"/>
        <v>1997</v>
      </c>
      <c r="AK489" s="1">
        <f t="shared" si="161"/>
        <v>0</v>
      </c>
      <c r="AL489" s="1">
        <f t="shared" si="162"/>
        <v>0</v>
      </c>
      <c r="AM489" s="1">
        <f t="shared" si="163"/>
        <v>7988</v>
      </c>
    </row>
    <row r="490" spans="1:39" x14ac:dyDescent="0.3">
      <c r="A490" s="12">
        <v>488</v>
      </c>
      <c r="B490" s="58" t="s">
        <v>1088</v>
      </c>
      <c r="C490" s="59" t="s">
        <v>1137</v>
      </c>
      <c r="D490" s="59" t="s">
        <v>1137</v>
      </c>
      <c r="E490" s="59" t="s">
        <v>1138</v>
      </c>
      <c r="F490" s="15">
        <f>+AB490</f>
        <v>10095</v>
      </c>
      <c r="G490" s="16">
        <f t="shared" si="154"/>
        <v>2</v>
      </c>
      <c r="H490" s="28"/>
      <c r="I490" s="28">
        <f t="shared" si="167"/>
        <v>0</v>
      </c>
      <c r="J490" s="28"/>
      <c r="K490" s="28">
        <f t="shared" si="141"/>
        <v>0</v>
      </c>
      <c r="L490" s="28"/>
      <c r="M490" s="28">
        <f t="shared" si="168"/>
        <v>0</v>
      </c>
      <c r="N490" s="28"/>
      <c r="O490" s="28">
        <f t="shared" si="149"/>
        <v>0</v>
      </c>
      <c r="P490" s="28"/>
      <c r="Q490" s="28">
        <f t="shared" si="169"/>
        <v>0</v>
      </c>
      <c r="R490" s="28">
        <v>1</v>
      </c>
      <c r="S490" s="28">
        <f t="shared" si="155"/>
        <v>10095</v>
      </c>
      <c r="T490" s="28">
        <v>1</v>
      </c>
      <c r="U490" s="28">
        <f t="shared" si="156"/>
        <v>10095</v>
      </c>
      <c r="V490" s="28">
        <f t="shared" si="148"/>
        <v>20190</v>
      </c>
      <c r="W490" s="17"/>
      <c r="X490" s="17"/>
      <c r="Y490" s="18">
        <v>0.05</v>
      </c>
      <c r="Z490" s="21"/>
      <c r="AA490" s="54">
        <v>1</v>
      </c>
      <c r="AB490" s="1">
        <f t="shared" si="166"/>
        <v>10095</v>
      </c>
      <c r="AC490" s="54"/>
      <c r="AE490" s="70"/>
      <c r="AF490" s="20">
        <f>SUMIF('[1]G-Chart'!G:G,[1]Capacity!D490,'[1]G-Chart'!L:L)</f>
        <v>2325</v>
      </c>
      <c r="AG490" s="2">
        <f t="shared" si="159"/>
        <v>0</v>
      </c>
      <c r="AH490" s="2">
        <f t="shared" si="160"/>
        <v>0</v>
      </c>
      <c r="AI490" s="2">
        <f t="shared" si="164"/>
        <v>0</v>
      </c>
      <c r="AJ490" s="1">
        <f t="shared" si="165"/>
        <v>0</v>
      </c>
      <c r="AK490" s="1">
        <f t="shared" si="161"/>
        <v>2325</v>
      </c>
      <c r="AL490" s="1">
        <f t="shared" si="162"/>
        <v>2325</v>
      </c>
      <c r="AM490" s="1">
        <f t="shared" si="163"/>
        <v>4650</v>
      </c>
    </row>
    <row r="491" spans="1:39" x14ac:dyDescent="0.3">
      <c r="A491" s="12">
        <v>489</v>
      </c>
      <c r="B491" s="71" t="s">
        <v>910</v>
      </c>
      <c r="C491" s="59" t="s">
        <v>1139</v>
      </c>
      <c r="D491" s="59" t="s">
        <v>1139</v>
      </c>
      <c r="E491" s="59" t="s">
        <v>1140</v>
      </c>
      <c r="F491" s="15">
        <f>AB491</f>
        <v>0</v>
      </c>
      <c r="G491" s="16">
        <f t="shared" si="154"/>
        <v>1</v>
      </c>
      <c r="H491" s="15"/>
      <c r="I491" s="15">
        <f>H491*F491</f>
        <v>0</v>
      </c>
      <c r="J491" s="15"/>
      <c r="K491" s="15">
        <f>F491*J491</f>
        <v>0</v>
      </c>
      <c r="L491" s="15"/>
      <c r="M491" s="15">
        <f t="shared" si="168"/>
        <v>0</v>
      </c>
      <c r="N491" s="15"/>
      <c r="O491" s="15">
        <f>N491*F491</f>
        <v>0</v>
      </c>
      <c r="P491" s="15"/>
      <c r="Q491" s="15">
        <f t="shared" si="169"/>
        <v>0</v>
      </c>
      <c r="R491" s="15"/>
      <c r="S491" s="15">
        <f>R491*F491</f>
        <v>0</v>
      </c>
      <c r="T491" s="15">
        <v>1</v>
      </c>
      <c r="U491" s="15">
        <f>T491*F491</f>
        <v>0</v>
      </c>
      <c r="V491" s="15">
        <f>F491*G491</f>
        <v>0</v>
      </c>
      <c r="W491" s="17"/>
      <c r="X491" s="17"/>
      <c r="Y491" s="18">
        <v>5.0000000000000001E-3</v>
      </c>
      <c r="Z491" s="21"/>
      <c r="AA491" s="21">
        <v>2</v>
      </c>
      <c r="AB491" s="60">
        <v>0</v>
      </c>
      <c r="AC491" s="21"/>
      <c r="AD491" s="21"/>
      <c r="AE491" s="19"/>
      <c r="AF491" s="20">
        <f>SUMIF('[1]G-Chart'!G:G,[1]Capacity!D491,'[1]G-Chart'!L:L)</f>
        <v>-38612</v>
      </c>
      <c r="AG491" s="2">
        <f t="shared" si="159"/>
        <v>0</v>
      </c>
      <c r="AH491" s="2">
        <f t="shared" si="160"/>
        <v>0</v>
      </c>
      <c r="AI491" s="2">
        <f t="shared" si="164"/>
        <v>0</v>
      </c>
      <c r="AJ491" s="1">
        <f t="shared" si="165"/>
        <v>0</v>
      </c>
      <c r="AK491" s="1">
        <f t="shared" si="161"/>
        <v>0</v>
      </c>
      <c r="AL491" s="1">
        <v>0</v>
      </c>
      <c r="AM491" s="1">
        <f t="shared" si="163"/>
        <v>-38612</v>
      </c>
    </row>
    <row r="492" spans="1:39" x14ac:dyDescent="0.3">
      <c r="A492" s="12">
        <v>490</v>
      </c>
      <c r="B492" s="72" t="s">
        <v>171</v>
      </c>
      <c r="C492" s="73" t="s">
        <v>196</v>
      </c>
      <c r="D492" s="74" t="s">
        <v>1141</v>
      </c>
      <c r="E492" s="75" t="s">
        <v>174</v>
      </c>
      <c r="F492" s="29">
        <f>AB492</f>
        <v>3011</v>
      </c>
      <c r="G492" s="16">
        <f t="shared" si="154"/>
        <v>2</v>
      </c>
      <c r="H492" s="16"/>
      <c r="I492" s="16">
        <f>H492*F492</f>
        <v>0</v>
      </c>
      <c r="J492" s="16"/>
      <c r="K492" s="16">
        <f>F492*J492</f>
        <v>0</v>
      </c>
      <c r="L492" s="16"/>
      <c r="M492" s="16">
        <f>L492*F492</f>
        <v>0</v>
      </c>
      <c r="N492" s="16"/>
      <c r="O492" s="16">
        <f>N492*F492</f>
        <v>0</v>
      </c>
      <c r="P492" s="16"/>
      <c r="Q492" s="16">
        <f t="shared" si="169"/>
        <v>0</v>
      </c>
      <c r="R492" s="16"/>
      <c r="S492" s="16">
        <f>R492*F492</f>
        <v>0</v>
      </c>
      <c r="T492" s="16">
        <v>2</v>
      </c>
      <c r="U492" s="16">
        <f>T492*F492</f>
        <v>6022</v>
      </c>
      <c r="V492" s="16">
        <f>F492*G492</f>
        <v>6022</v>
      </c>
      <c r="W492" s="17"/>
      <c r="X492" s="17"/>
      <c r="Y492" s="18">
        <v>0.06</v>
      </c>
      <c r="Z492" s="1">
        <f>F492/25</f>
        <v>120.44</v>
      </c>
      <c r="AA492" s="76">
        <v>1</v>
      </c>
      <c r="AB492" s="76">
        <f t="shared" ref="AB492:AB497" si="170">AD492*AA492</f>
        <v>3011</v>
      </c>
      <c r="AC492" s="77"/>
      <c r="AD492" s="31">
        <v>3011</v>
      </c>
      <c r="AE492" s="32" t="s">
        <v>196</v>
      </c>
      <c r="AF492" s="20">
        <f>SUMIF('[1]G-Chart'!G:G,[1]Capacity!D492,'[1]G-Chart'!L:L)</f>
        <v>666</v>
      </c>
      <c r="AG492" s="2">
        <f t="shared" si="159"/>
        <v>0</v>
      </c>
      <c r="AH492" s="2">
        <f t="shared" si="160"/>
        <v>0</v>
      </c>
      <c r="AI492" s="2">
        <f t="shared" si="164"/>
        <v>0</v>
      </c>
      <c r="AJ492" s="1">
        <f t="shared" si="165"/>
        <v>0</v>
      </c>
      <c r="AK492" s="1">
        <f t="shared" si="161"/>
        <v>0</v>
      </c>
      <c r="AL492" s="1">
        <f t="shared" si="162"/>
        <v>1332</v>
      </c>
      <c r="AM492" s="1">
        <f t="shared" si="163"/>
        <v>1332</v>
      </c>
    </row>
    <row r="493" spans="1:39" x14ac:dyDescent="0.3">
      <c r="A493" s="12">
        <v>491</v>
      </c>
      <c r="B493" s="12" t="s">
        <v>171</v>
      </c>
      <c r="C493" s="59" t="s">
        <v>1142</v>
      </c>
      <c r="D493" s="78" t="s">
        <v>1143</v>
      </c>
      <c r="E493" s="59" t="s">
        <v>1144</v>
      </c>
      <c r="F493" s="15">
        <f>AB493</f>
        <v>600</v>
      </c>
      <c r="G493" s="16">
        <f t="shared" si="154"/>
        <v>2</v>
      </c>
      <c r="H493" s="15"/>
      <c r="I493" s="15">
        <f>H493*F493</f>
        <v>0</v>
      </c>
      <c r="J493" s="15"/>
      <c r="K493" s="15">
        <f>F493*J493</f>
        <v>0</v>
      </c>
      <c r="L493" s="15"/>
      <c r="M493" s="15">
        <f>L493*F493</f>
        <v>0</v>
      </c>
      <c r="N493" s="15"/>
      <c r="O493" s="15">
        <f>N493*F493</f>
        <v>0</v>
      </c>
      <c r="P493" s="15"/>
      <c r="Q493" s="15">
        <f t="shared" si="169"/>
        <v>0</v>
      </c>
      <c r="R493" s="15">
        <v>1</v>
      </c>
      <c r="S493" s="15">
        <f>R493*F493</f>
        <v>600</v>
      </c>
      <c r="T493" s="15">
        <v>1</v>
      </c>
      <c r="U493" s="15">
        <f>T493*F493</f>
        <v>600</v>
      </c>
      <c r="V493" s="15">
        <f>F493*G493</f>
        <v>1200</v>
      </c>
      <c r="W493" s="17"/>
      <c r="X493" s="17"/>
      <c r="Y493" s="18">
        <v>0.183</v>
      </c>
      <c r="Z493" s="21"/>
      <c r="AA493" s="21">
        <v>12</v>
      </c>
      <c r="AB493" s="21">
        <f t="shared" si="170"/>
        <v>600</v>
      </c>
      <c r="AC493" s="30"/>
      <c r="AD493" s="31">
        <f>20+30</f>
        <v>50</v>
      </c>
      <c r="AE493" s="51" t="s">
        <v>1145</v>
      </c>
      <c r="AF493" s="20">
        <f>SUMIF('[1]G-Chart'!G:G,[1]Capacity!D493,'[1]G-Chart'!L:L)</f>
        <v>0</v>
      </c>
      <c r="AG493" s="2">
        <f t="shared" si="159"/>
        <v>0</v>
      </c>
      <c r="AH493" s="2">
        <f t="shared" si="160"/>
        <v>0</v>
      </c>
      <c r="AI493" s="2">
        <f t="shared" si="164"/>
        <v>0</v>
      </c>
      <c r="AJ493" s="1">
        <f t="shared" si="165"/>
        <v>0</v>
      </c>
      <c r="AK493" s="1">
        <f t="shared" si="161"/>
        <v>0</v>
      </c>
      <c r="AL493" s="1">
        <f t="shared" si="162"/>
        <v>0</v>
      </c>
      <c r="AM493" s="1">
        <f t="shared" si="163"/>
        <v>0</v>
      </c>
    </row>
    <row r="494" spans="1:39" x14ac:dyDescent="0.3">
      <c r="A494" s="12">
        <v>492</v>
      </c>
      <c r="B494" s="79" t="s">
        <v>109</v>
      </c>
      <c r="C494" s="80" t="s">
        <v>1146</v>
      </c>
      <c r="D494" s="80" t="s">
        <v>1146</v>
      </c>
      <c r="E494" s="80" t="s">
        <v>1147</v>
      </c>
      <c r="F494" s="28">
        <f>AB494</f>
        <v>0</v>
      </c>
      <c r="G494" s="29">
        <f t="shared" si="154"/>
        <v>3</v>
      </c>
      <c r="H494" s="15"/>
      <c r="I494" s="15">
        <f>H494*F494</f>
        <v>0</v>
      </c>
      <c r="J494" s="15">
        <v>3</v>
      </c>
      <c r="K494" s="15">
        <f>F494*J494</f>
        <v>0</v>
      </c>
      <c r="L494" s="15"/>
      <c r="M494" s="15">
        <f>L494*F494</f>
        <v>0</v>
      </c>
      <c r="N494" s="15"/>
      <c r="O494" s="15">
        <f>N494*F494</f>
        <v>0</v>
      </c>
      <c r="P494" s="15"/>
      <c r="Q494" s="15">
        <f t="shared" si="169"/>
        <v>0</v>
      </c>
      <c r="R494" s="15">
        <v>0</v>
      </c>
      <c r="S494" s="15">
        <f>R494*F494</f>
        <v>0</v>
      </c>
      <c r="T494" s="15">
        <v>0</v>
      </c>
      <c r="U494" s="15">
        <f>T494*F494</f>
        <v>0</v>
      </c>
      <c r="V494" s="15">
        <f>F494*G494</f>
        <v>0</v>
      </c>
      <c r="W494" s="17"/>
      <c r="X494" s="17"/>
      <c r="Y494" s="18">
        <v>6.2E-2</v>
      </c>
      <c r="Z494" s="21"/>
      <c r="AA494" s="21">
        <v>2</v>
      </c>
      <c r="AB494" s="21">
        <f t="shared" si="170"/>
        <v>0</v>
      </c>
      <c r="AC494" s="30"/>
      <c r="AD494" s="31">
        <v>0</v>
      </c>
      <c r="AE494" s="51" t="s">
        <v>1148</v>
      </c>
      <c r="AF494" s="20">
        <f>SUMIF('[1]G-Chart'!G:G,[1]Capacity!D494,'[1]G-Chart'!L:L)</f>
        <v>3325</v>
      </c>
      <c r="AG494" s="2">
        <f t="shared" si="159"/>
        <v>9975</v>
      </c>
      <c r="AH494" s="2">
        <f t="shared" si="160"/>
        <v>0</v>
      </c>
      <c r="AI494" s="2">
        <f t="shared" si="164"/>
        <v>0</v>
      </c>
      <c r="AJ494" s="1">
        <f t="shared" si="165"/>
        <v>0</v>
      </c>
      <c r="AK494" s="1">
        <f t="shared" si="161"/>
        <v>0</v>
      </c>
      <c r="AL494" s="1">
        <f t="shared" si="162"/>
        <v>0</v>
      </c>
      <c r="AM494" s="1">
        <f t="shared" si="163"/>
        <v>9975</v>
      </c>
    </row>
    <row r="495" spans="1:39" x14ac:dyDescent="0.3">
      <c r="A495" s="12">
        <v>493</v>
      </c>
      <c r="B495" s="12" t="s">
        <v>276</v>
      </c>
      <c r="C495" s="59" t="s">
        <v>1149</v>
      </c>
      <c r="D495" s="59" t="s">
        <v>1149</v>
      </c>
      <c r="E495" s="59" t="s">
        <v>1150</v>
      </c>
      <c r="F495" s="15">
        <f>AB495</f>
        <v>2404</v>
      </c>
      <c r="G495" s="15">
        <f t="shared" si="154"/>
        <v>3</v>
      </c>
      <c r="H495" s="15"/>
      <c r="I495" s="15">
        <f>H495*F495</f>
        <v>0</v>
      </c>
      <c r="J495" s="15"/>
      <c r="K495" s="15">
        <f>F495*J495</f>
        <v>0</v>
      </c>
      <c r="L495" s="15">
        <v>1</v>
      </c>
      <c r="M495" s="15">
        <f>L495*F495</f>
        <v>2404</v>
      </c>
      <c r="N495" s="15">
        <v>2</v>
      </c>
      <c r="O495" s="15">
        <f>N495*F495</f>
        <v>4808</v>
      </c>
      <c r="P495" s="15"/>
      <c r="Q495" s="15">
        <f t="shared" si="169"/>
        <v>0</v>
      </c>
      <c r="R495" s="15">
        <v>0</v>
      </c>
      <c r="S495" s="15">
        <f>R495*F495</f>
        <v>0</v>
      </c>
      <c r="T495" s="15">
        <v>0</v>
      </c>
      <c r="U495" s="15">
        <f>T495*F495</f>
        <v>0</v>
      </c>
      <c r="V495" s="15">
        <f t="shared" ref="V495:V532" si="171">F495*G495</f>
        <v>7212</v>
      </c>
      <c r="W495" s="17"/>
      <c r="X495" s="17"/>
      <c r="Y495" s="18">
        <v>4.9000000000000002E-2</v>
      </c>
      <c r="Z495" s="21"/>
      <c r="AA495" s="21">
        <v>2</v>
      </c>
      <c r="AB495" s="21">
        <f t="shared" si="170"/>
        <v>2404</v>
      </c>
      <c r="AC495" s="30"/>
      <c r="AD495" s="31">
        <v>1202</v>
      </c>
      <c r="AE495" s="32" t="s">
        <v>1151</v>
      </c>
      <c r="AF495" s="20">
        <f>SUMIF('[1]G-Chart'!G:G,[1]Capacity!D495,'[1]G-Chart'!L:L)</f>
        <v>0</v>
      </c>
      <c r="AG495" s="2">
        <f t="shared" si="159"/>
        <v>0</v>
      </c>
      <c r="AH495" s="2">
        <f t="shared" si="160"/>
        <v>0</v>
      </c>
      <c r="AI495" s="2">
        <f t="shared" si="164"/>
        <v>0</v>
      </c>
      <c r="AJ495" s="1">
        <f t="shared" si="165"/>
        <v>0</v>
      </c>
      <c r="AK495" s="1">
        <f t="shared" si="161"/>
        <v>0</v>
      </c>
      <c r="AL495" s="1">
        <f t="shared" si="162"/>
        <v>0</v>
      </c>
      <c r="AM495" s="1">
        <f t="shared" si="163"/>
        <v>0</v>
      </c>
    </row>
    <row r="496" spans="1:39" x14ac:dyDescent="0.3">
      <c r="A496" s="12">
        <v>494</v>
      </c>
      <c r="B496" s="24" t="s">
        <v>557</v>
      </c>
      <c r="C496" s="80" t="s">
        <v>1152</v>
      </c>
      <c r="D496" s="80" t="s">
        <v>1153</v>
      </c>
      <c r="E496" s="80" t="s">
        <v>1154</v>
      </c>
      <c r="F496" s="28">
        <f t="shared" ref="F496:F532" si="172">AB496</f>
        <v>734</v>
      </c>
      <c r="G496" s="29">
        <f t="shared" si="154"/>
        <v>1</v>
      </c>
      <c r="H496" s="16"/>
      <c r="I496" s="15">
        <f t="shared" ref="I496:I527" si="173">H496*F496</f>
        <v>0</v>
      </c>
      <c r="J496" s="15"/>
      <c r="K496" s="15">
        <f t="shared" ref="K496:K533" si="174">F496*J496</f>
        <v>0</v>
      </c>
      <c r="L496" s="15"/>
      <c r="M496" s="15">
        <f t="shared" ref="M496:M533" si="175">L496*F496</f>
        <v>0</v>
      </c>
      <c r="N496" s="15"/>
      <c r="O496" s="15">
        <f t="shared" ref="O496:O533" si="176">N496*F496</f>
        <v>0</v>
      </c>
      <c r="P496" s="15">
        <v>1</v>
      </c>
      <c r="Q496" s="15">
        <f t="shared" si="169"/>
        <v>734</v>
      </c>
      <c r="R496" s="15">
        <v>0</v>
      </c>
      <c r="S496" s="15">
        <f t="shared" ref="S496:S533" si="177">R496*F496</f>
        <v>0</v>
      </c>
      <c r="T496" s="15">
        <v>0</v>
      </c>
      <c r="U496" s="15">
        <f t="shared" ref="U496:U533" si="178">T496*F496</f>
        <v>0</v>
      </c>
      <c r="V496" s="15">
        <f t="shared" si="171"/>
        <v>734</v>
      </c>
      <c r="W496" s="17"/>
      <c r="X496" s="17"/>
      <c r="Y496" s="18">
        <v>0.10299999999999999</v>
      </c>
      <c r="Z496" s="21"/>
      <c r="AA496" s="21">
        <v>2</v>
      </c>
      <c r="AB496" s="1">
        <f>(AD221+AD289)*AA496</f>
        <v>734</v>
      </c>
      <c r="AC496" s="21"/>
      <c r="AD496" s="21"/>
      <c r="AE496" s="49"/>
      <c r="AF496" s="20">
        <f>SUMIF('[1]G-Chart'!G:G,[1]Capacity!D496,'[1]G-Chart'!L:L)</f>
        <v>805</v>
      </c>
      <c r="AG496" s="2">
        <f t="shared" si="159"/>
        <v>0</v>
      </c>
      <c r="AH496" s="2">
        <f t="shared" si="160"/>
        <v>0</v>
      </c>
      <c r="AI496" s="2">
        <f t="shared" si="164"/>
        <v>0</v>
      </c>
      <c r="AJ496" s="1">
        <f t="shared" si="165"/>
        <v>805</v>
      </c>
      <c r="AK496" s="1">
        <f t="shared" si="161"/>
        <v>0</v>
      </c>
      <c r="AL496" s="1">
        <f t="shared" si="162"/>
        <v>0</v>
      </c>
      <c r="AM496" s="1">
        <f t="shared" si="163"/>
        <v>805</v>
      </c>
    </row>
    <row r="497" spans="1:39" x14ac:dyDescent="0.3">
      <c r="A497" s="12">
        <v>495</v>
      </c>
      <c r="B497" s="12" t="s">
        <v>276</v>
      </c>
      <c r="C497" s="59" t="s">
        <v>1155</v>
      </c>
      <c r="D497" s="59" t="s">
        <v>1155</v>
      </c>
      <c r="E497" s="59" t="s">
        <v>1156</v>
      </c>
      <c r="F497" s="15">
        <f t="shared" si="172"/>
        <v>0</v>
      </c>
      <c r="G497" s="15">
        <f t="shared" si="154"/>
        <v>4</v>
      </c>
      <c r="H497" s="15"/>
      <c r="I497" s="15">
        <f t="shared" si="173"/>
        <v>0</v>
      </c>
      <c r="J497" s="15"/>
      <c r="K497" s="15">
        <f t="shared" si="174"/>
        <v>0</v>
      </c>
      <c r="L497" s="15">
        <v>2</v>
      </c>
      <c r="M497" s="15">
        <f t="shared" si="175"/>
        <v>0</v>
      </c>
      <c r="N497" s="15">
        <v>2</v>
      </c>
      <c r="O497" s="15">
        <f t="shared" si="176"/>
        <v>0</v>
      </c>
      <c r="P497" s="15"/>
      <c r="Q497" s="15">
        <f t="shared" si="169"/>
        <v>0</v>
      </c>
      <c r="R497" s="15">
        <v>0</v>
      </c>
      <c r="S497" s="15">
        <f t="shared" si="177"/>
        <v>0</v>
      </c>
      <c r="T497" s="15">
        <v>0</v>
      </c>
      <c r="U497" s="15">
        <f t="shared" si="178"/>
        <v>0</v>
      </c>
      <c r="V497" s="15">
        <f t="shared" si="171"/>
        <v>0</v>
      </c>
      <c r="W497" s="17"/>
      <c r="X497" s="17"/>
      <c r="Y497" s="18">
        <v>5.1999999999999998E-2</v>
      </c>
      <c r="Z497" s="21"/>
      <c r="AA497" s="21">
        <v>2</v>
      </c>
      <c r="AB497" s="21">
        <f t="shared" si="170"/>
        <v>0</v>
      </c>
      <c r="AC497" s="30"/>
      <c r="AD497" s="31">
        <v>0</v>
      </c>
      <c r="AE497" s="32" t="s">
        <v>1157</v>
      </c>
      <c r="AF497" s="20">
        <f>SUMIF('[1]G-Chart'!G:G,[1]Capacity!D497,'[1]G-Chart'!L:L)</f>
        <v>1300</v>
      </c>
      <c r="AG497" s="2">
        <f t="shared" si="159"/>
        <v>0</v>
      </c>
      <c r="AH497" s="2">
        <f t="shared" si="160"/>
        <v>2600</v>
      </c>
      <c r="AI497" s="2">
        <f t="shared" si="164"/>
        <v>2600</v>
      </c>
      <c r="AJ497" s="1">
        <f t="shared" si="165"/>
        <v>0</v>
      </c>
      <c r="AK497" s="1">
        <f t="shared" si="161"/>
        <v>0</v>
      </c>
      <c r="AL497" s="1">
        <f t="shared" si="162"/>
        <v>0</v>
      </c>
      <c r="AM497" s="1">
        <f t="shared" si="163"/>
        <v>5200</v>
      </c>
    </row>
    <row r="498" spans="1:39" x14ac:dyDescent="0.3">
      <c r="A498" s="12"/>
      <c r="B498" s="12" t="s">
        <v>276</v>
      </c>
      <c r="C498" s="21" t="s">
        <v>1158</v>
      </c>
      <c r="D498" s="21" t="s">
        <v>1158</v>
      </c>
      <c r="E498" s="48" t="s">
        <v>1159</v>
      </c>
      <c r="F498" s="15">
        <f t="shared" si="172"/>
        <v>2404</v>
      </c>
      <c r="G498" s="15">
        <f t="shared" si="154"/>
        <v>2</v>
      </c>
      <c r="H498" s="15"/>
      <c r="I498" s="15">
        <f t="shared" si="173"/>
        <v>0</v>
      </c>
      <c r="J498" s="15"/>
      <c r="K498" s="15">
        <f t="shared" si="174"/>
        <v>0</v>
      </c>
      <c r="L498" s="15"/>
      <c r="M498" s="15">
        <f t="shared" si="175"/>
        <v>0</v>
      </c>
      <c r="N498" s="15"/>
      <c r="O498" s="15">
        <f t="shared" si="176"/>
        <v>0</v>
      </c>
      <c r="P498" s="15">
        <v>2</v>
      </c>
      <c r="Q498" s="15">
        <f>P498*F498</f>
        <v>4808</v>
      </c>
      <c r="R498" s="15"/>
      <c r="S498" s="15">
        <f t="shared" si="177"/>
        <v>0</v>
      </c>
      <c r="T498" s="15"/>
      <c r="U498" s="15">
        <f t="shared" si="178"/>
        <v>0</v>
      </c>
      <c r="V498" s="15">
        <f t="shared" si="171"/>
        <v>4808</v>
      </c>
      <c r="W498" s="17"/>
      <c r="X498" s="17"/>
      <c r="Y498" s="18"/>
      <c r="Z498" s="21"/>
      <c r="AA498" s="21">
        <v>2</v>
      </c>
      <c r="AB498" s="21">
        <f>AD498*AA498</f>
        <v>2404</v>
      </c>
      <c r="AC498" s="30"/>
      <c r="AD498" s="31">
        <v>1202</v>
      </c>
      <c r="AE498" s="32" t="s">
        <v>1160</v>
      </c>
      <c r="AF498" s="20"/>
    </row>
    <row r="499" spans="1:39" x14ac:dyDescent="0.3">
      <c r="A499" s="12">
        <v>496</v>
      </c>
      <c r="B499" s="71" t="s">
        <v>1161</v>
      </c>
      <c r="C499" s="59" t="s">
        <v>1162</v>
      </c>
      <c r="D499" s="59" t="s">
        <v>1162</v>
      </c>
      <c r="E499" s="59" t="s">
        <v>1163</v>
      </c>
      <c r="F499" s="15">
        <f t="shared" si="172"/>
        <v>1202</v>
      </c>
      <c r="G499" s="16">
        <f t="shared" si="154"/>
        <v>3</v>
      </c>
      <c r="H499" s="15"/>
      <c r="I499" s="15">
        <f t="shared" si="173"/>
        <v>0</v>
      </c>
      <c r="J499" s="15"/>
      <c r="K499" s="15">
        <f t="shared" si="174"/>
        <v>0</v>
      </c>
      <c r="L499" s="15">
        <v>2</v>
      </c>
      <c r="M499" s="15">
        <f t="shared" si="175"/>
        <v>2404</v>
      </c>
      <c r="N499" s="15"/>
      <c r="O499" s="15">
        <f t="shared" si="176"/>
        <v>0</v>
      </c>
      <c r="P499" s="15">
        <v>1</v>
      </c>
      <c r="Q499" s="15">
        <f t="shared" si="169"/>
        <v>1202</v>
      </c>
      <c r="R499" s="15">
        <v>0</v>
      </c>
      <c r="S499" s="15">
        <f t="shared" si="177"/>
        <v>0</v>
      </c>
      <c r="T499" s="15">
        <v>0</v>
      </c>
      <c r="U499" s="15">
        <f t="shared" si="178"/>
        <v>0</v>
      </c>
      <c r="V499" s="15">
        <f t="shared" si="171"/>
        <v>3606</v>
      </c>
      <c r="W499" s="17"/>
      <c r="X499" s="17"/>
      <c r="Y499" s="18">
        <v>0.247</v>
      </c>
      <c r="Z499" s="21"/>
      <c r="AA499" s="21">
        <v>1</v>
      </c>
      <c r="AB499" s="21">
        <f>AD499*AA499</f>
        <v>1202</v>
      </c>
      <c r="AC499" s="30"/>
      <c r="AD499" s="31">
        <v>1202</v>
      </c>
      <c r="AE499" s="32" t="s">
        <v>155</v>
      </c>
      <c r="AF499" s="20">
        <f>SUMIF('[1]G-Chart'!G:G,[1]Capacity!D499,'[1]G-Chart'!L:L)</f>
        <v>0</v>
      </c>
      <c r="AG499" s="2">
        <f t="shared" si="159"/>
        <v>0</v>
      </c>
      <c r="AH499" s="2">
        <f t="shared" si="160"/>
        <v>0</v>
      </c>
      <c r="AI499" s="2">
        <f t="shared" si="164"/>
        <v>0</v>
      </c>
      <c r="AJ499" s="1">
        <f t="shared" si="165"/>
        <v>0</v>
      </c>
      <c r="AK499" s="1">
        <f t="shared" si="161"/>
        <v>0</v>
      </c>
      <c r="AL499" s="1">
        <f t="shared" si="162"/>
        <v>0</v>
      </c>
      <c r="AM499" s="1">
        <f t="shared" si="163"/>
        <v>0</v>
      </c>
    </row>
    <row r="500" spans="1:39" x14ac:dyDescent="0.3">
      <c r="A500" s="12">
        <v>497</v>
      </c>
      <c r="B500" s="58" t="s">
        <v>236</v>
      </c>
      <c r="C500" s="81" t="s">
        <v>1164</v>
      </c>
      <c r="D500" s="48" t="s">
        <v>1165</v>
      </c>
      <c r="E500" s="59" t="s">
        <v>1166</v>
      </c>
      <c r="F500" s="15">
        <f>AB500</f>
        <v>5180</v>
      </c>
      <c r="G500" s="16">
        <f t="shared" si="154"/>
        <v>0</v>
      </c>
      <c r="H500" s="16"/>
      <c r="I500" s="15">
        <f t="shared" si="173"/>
        <v>0</v>
      </c>
      <c r="J500" s="15"/>
      <c r="K500" s="15">
        <f t="shared" si="174"/>
        <v>0</v>
      </c>
      <c r="L500" s="15"/>
      <c r="M500" s="15">
        <f t="shared" si="175"/>
        <v>0</v>
      </c>
      <c r="N500" s="15"/>
      <c r="O500" s="15">
        <f t="shared" si="176"/>
        <v>0</v>
      </c>
      <c r="P500" s="15"/>
      <c r="Q500" s="15">
        <f t="shared" si="169"/>
        <v>0</v>
      </c>
      <c r="R500" s="15">
        <v>0</v>
      </c>
      <c r="S500" s="15">
        <f t="shared" si="177"/>
        <v>0</v>
      </c>
      <c r="T500" s="15">
        <v>0</v>
      </c>
      <c r="U500" s="15">
        <f t="shared" si="178"/>
        <v>0</v>
      </c>
      <c r="V500" s="15">
        <f t="shared" si="171"/>
        <v>0</v>
      </c>
      <c r="W500" s="17"/>
      <c r="X500" s="17"/>
      <c r="Y500" s="18">
        <v>7.4999999999999997E-2</v>
      </c>
      <c r="Z500" s="18"/>
      <c r="AA500" s="18">
        <v>2</v>
      </c>
      <c r="AB500" s="18">
        <f>AA500*AD500</f>
        <v>5180</v>
      </c>
      <c r="AC500" s="82"/>
      <c r="AD500" s="31">
        <f>2500+90</f>
        <v>2590</v>
      </c>
      <c r="AE500" s="51" t="s">
        <v>1167</v>
      </c>
      <c r="AF500" s="20">
        <f>SUMIF('[1]G-Chart'!G:G,[1]Capacity!D500,'[1]G-Chart'!L:L)</f>
        <v>1862</v>
      </c>
      <c r="AG500" s="2">
        <f t="shared" si="159"/>
        <v>0</v>
      </c>
      <c r="AH500" s="2">
        <f t="shared" si="160"/>
        <v>0</v>
      </c>
      <c r="AI500" s="2">
        <f t="shared" si="164"/>
        <v>0</v>
      </c>
      <c r="AJ500" s="1">
        <f t="shared" si="165"/>
        <v>0</v>
      </c>
      <c r="AK500" s="1">
        <f t="shared" si="161"/>
        <v>0</v>
      </c>
      <c r="AL500" s="1">
        <f t="shared" si="162"/>
        <v>0</v>
      </c>
      <c r="AM500" s="1">
        <f t="shared" si="163"/>
        <v>0</v>
      </c>
    </row>
    <row r="501" spans="1:39" x14ac:dyDescent="0.3">
      <c r="A501" s="12">
        <v>498</v>
      </c>
      <c r="B501" s="58" t="s">
        <v>259</v>
      </c>
      <c r="C501" s="22" t="s">
        <v>466</v>
      </c>
      <c r="D501" s="22" t="s">
        <v>1168</v>
      </c>
      <c r="E501" s="50" t="s">
        <v>1169</v>
      </c>
      <c r="F501" s="16">
        <f t="shared" si="172"/>
        <v>0</v>
      </c>
      <c r="G501" s="16">
        <f t="shared" si="154"/>
        <v>3</v>
      </c>
      <c r="H501" s="16"/>
      <c r="I501" s="15">
        <f t="shared" si="173"/>
        <v>0</v>
      </c>
      <c r="J501" s="15"/>
      <c r="K501" s="15">
        <f t="shared" si="174"/>
        <v>0</v>
      </c>
      <c r="L501" s="15"/>
      <c r="M501" s="15">
        <f t="shared" si="175"/>
        <v>0</v>
      </c>
      <c r="N501" s="15">
        <v>1</v>
      </c>
      <c r="O501" s="15">
        <f t="shared" si="176"/>
        <v>0</v>
      </c>
      <c r="P501" s="15"/>
      <c r="Q501" s="15">
        <f t="shared" si="169"/>
        <v>0</v>
      </c>
      <c r="R501" s="15">
        <v>1</v>
      </c>
      <c r="S501" s="15">
        <f t="shared" si="177"/>
        <v>0</v>
      </c>
      <c r="T501" s="15">
        <v>1</v>
      </c>
      <c r="U501" s="15">
        <f t="shared" si="178"/>
        <v>0</v>
      </c>
      <c r="V501" s="15">
        <f t="shared" si="171"/>
        <v>0</v>
      </c>
      <c r="W501" s="17"/>
      <c r="X501" s="17"/>
      <c r="Y501" s="18">
        <v>4.2999999999999997E-2</v>
      </c>
      <c r="Z501" s="54"/>
      <c r="AA501" s="21"/>
      <c r="AB501" s="21"/>
      <c r="AC501" s="21"/>
      <c r="AD501" s="18"/>
      <c r="AE501" s="19"/>
      <c r="AF501" s="20">
        <f>SUMIF('[1]G-Chart'!G:G,[1]Capacity!D501,'[1]G-Chart'!L:L)</f>
        <v>128</v>
      </c>
      <c r="AG501" s="2">
        <f t="shared" si="159"/>
        <v>0</v>
      </c>
      <c r="AH501" s="2">
        <f t="shared" si="160"/>
        <v>0</v>
      </c>
      <c r="AI501" s="2">
        <f t="shared" si="164"/>
        <v>128</v>
      </c>
      <c r="AJ501" s="1">
        <f t="shared" si="165"/>
        <v>0</v>
      </c>
      <c r="AK501" s="1">
        <f t="shared" si="161"/>
        <v>128</v>
      </c>
      <c r="AL501" s="1">
        <f t="shared" si="162"/>
        <v>128</v>
      </c>
      <c r="AM501" s="1">
        <f t="shared" si="163"/>
        <v>384</v>
      </c>
    </row>
    <row r="502" spans="1:39" x14ac:dyDescent="0.3">
      <c r="A502" s="12">
        <v>499</v>
      </c>
      <c r="B502" s="58" t="s">
        <v>1170</v>
      </c>
      <c r="C502" s="59" t="s">
        <v>1171</v>
      </c>
      <c r="D502" s="59" t="s">
        <v>1172</v>
      </c>
      <c r="E502" s="59" t="s">
        <v>1173</v>
      </c>
      <c r="F502" s="16">
        <f t="shared" si="172"/>
        <v>7334</v>
      </c>
      <c r="G502" s="16">
        <f t="shared" si="154"/>
        <v>2</v>
      </c>
      <c r="H502" s="16"/>
      <c r="I502" s="15">
        <f t="shared" si="173"/>
        <v>0</v>
      </c>
      <c r="J502" s="16">
        <v>1</v>
      </c>
      <c r="K502" s="15">
        <f t="shared" si="174"/>
        <v>7334</v>
      </c>
      <c r="L502" s="15">
        <v>1</v>
      </c>
      <c r="M502" s="15">
        <f t="shared" si="175"/>
        <v>7334</v>
      </c>
      <c r="N502" s="15"/>
      <c r="O502" s="15">
        <f t="shared" si="176"/>
        <v>0</v>
      </c>
      <c r="P502" s="15"/>
      <c r="Q502" s="15">
        <f t="shared" si="169"/>
        <v>0</v>
      </c>
      <c r="R502" s="15">
        <v>0</v>
      </c>
      <c r="S502" s="15">
        <f t="shared" si="177"/>
        <v>0</v>
      </c>
      <c r="T502" s="15">
        <v>0</v>
      </c>
      <c r="U502" s="15">
        <f t="shared" si="178"/>
        <v>0</v>
      </c>
      <c r="V502" s="15">
        <f t="shared" si="171"/>
        <v>14668</v>
      </c>
      <c r="W502" s="17"/>
      <c r="X502" s="17"/>
      <c r="Y502" s="18">
        <v>5.8000000000000003E-2</v>
      </c>
      <c r="Z502" s="21"/>
      <c r="AA502" s="21">
        <v>1</v>
      </c>
      <c r="AB502" s="21">
        <f>$AD$502*AA502</f>
        <v>7334</v>
      </c>
      <c r="AC502" s="30"/>
      <c r="AD502" s="31">
        <v>7334</v>
      </c>
      <c r="AE502" s="32" t="s">
        <v>1174</v>
      </c>
      <c r="AF502" s="20">
        <f>SUMIF('[1]G-Chart'!G:G,[1]Capacity!D502,'[1]G-Chart'!L:L)</f>
        <v>1804</v>
      </c>
      <c r="AG502" s="2">
        <f t="shared" si="159"/>
        <v>1804</v>
      </c>
      <c r="AH502" s="2">
        <f t="shared" si="160"/>
        <v>1804</v>
      </c>
      <c r="AI502" s="2">
        <f t="shared" si="164"/>
        <v>0</v>
      </c>
      <c r="AJ502" s="1">
        <f t="shared" si="165"/>
        <v>0</v>
      </c>
      <c r="AK502" s="1">
        <f t="shared" si="161"/>
        <v>0</v>
      </c>
      <c r="AL502" s="1">
        <f t="shared" si="162"/>
        <v>0</v>
      </c>
      <c r="AM502" s="1">
        <f t="shared" si="163"/>
        <v>3608</v>
      </c>
    </row>
    <row r="503" spans="1:39" x14ac:dyDescent="0.3">
      <c r="A503" s="12">
        <v>500</v>
      </c>
      <c r="B503" s="58" t="s">
        <v>1170</v>
      </c>
      <c r="C503" s="59" t="s">
        <v>1175</v>
      </c>
      <c r="D503" s="59" t="s">
        <v>1176</v>
      </c>
      <c r="E503" s="59" t="s">
        <v>1177</v>
      </c>
      <c r="F503" s="16">
        <f t="shared" si="172"/>
        <v>7334</v>
      </c>
      <c r="G503" s="16">
        <f t="shared" si="154"/>
        <v>2</v>
      </c>
      <c r="H503" s="16"/>
      <c r="I503" s="15">
        <f t="shared" si="173"/>
        <v>0</v>
      </c>
      <c r="J503" s="16">
        <v>1</v>
      </c>
      <c r="K503" s="15">
        <f t="shared" si="174"/>
        <v>7334</v>
      </c>
      <c r="L503" s="15">
        <v>1</v>
      </c>
      <c r="M503" s="15">
        <f t="shared" si="175"/>
        <v>7334</v>
      </c>
      <c r="N503" s="15"/>
      <c r="O503" s="15">
        <f t="shared" si="176"/>
        <v>0</v>
      </c>
      <c r="P503" s="15"/>
      <c r="Q503" s="15">
        <f t="shared" si="169"/>
        <v>0</v>
      </c>
      <c r="R503" s="15">
        <v>0</v>
      </c>
      <c r="S503" s="15">
        <f t="shared" si="177"/>
        <v>0</v>
      </c>
      <c r="T503" s="15">
        <v>0</v>
      </c>
      <c r="U503" s="15">
        <f t="shared" si="178"/>
        <v>0</v>
      </c>
      <c r="V503" s="15">
        <f t="shared" si="171"/>
        <v>14668</v>
      </c>
      <c r="W503" s="17"/>
      <c r="X503" s="17"/>
      <c r="Y503" s="18">
        <v>5.8000000000000003E-2</v>
      </c>
      <c r="Z503" s="21"/>
      <c r="AA503" s="21">
        <v>1</v>
      </c>
      <c r="AB503" s="21">
        <f t="shared" ref="AB503:AB511" si="179">$AD$502*AA503</f>
        <v>7334</v>
      </c>
      <c r="AC503" s="21"/>
      <c r="AD503" s="18"/>
      <c r="AE503" s="19"/>
      <c r="AF503" s="20">
        <f>SUMIF('[1]G-Chart'!G:G,[1]Capacity!D503,'[1]G-Chart'!L:L)</f>
        <v>1804</v>
      </c>
      <c r="AG503" s="2">
        <f t="shared" si="159"/>
        <v>1804</v>
      </c>
      <c r="AH503" s="2">
        <f t="shared" si="160"/>
        <v>1804</v>
      </c>
      <c r="AI503" s="2">
        <f t="shared" si="164"/>
        <v>0</v>
      </c>
      <c r="AJ503" s="1">
        <f t="shared" si="165"/>
        <v>0</v>
      </c>
      <c r="AK503" s="1">
        <f t="shared" si="161"/>
        <v>0</v>
      </c>
      <c r="AL503" s="1">
        <f t="shared" si="162"/>
        <v>0</v>
      </c>
      <c r="AM503" s="1">
        <f t="shared" si="163"/>
        <v>3608</v>
      </c>
    </row>
    <row r="504" spans="1:39" x14ac:dyDescent="0.3">
      <c r="A504" s="12">
        <v>501</v>
      </c>
      <c r="B504" s="58" t="s">
        <v>1170</v>
      </c>
      <c r="C504" s="83" t="s">
        <v>1178</v>
      </c>
      <c r="D504" s="83" t="s">
        <v>1179</v>
      </c>
      <c r="E504" s="83" t="s">
        <v>1180</v>
      </c>
      <c r="F504" s="16">
        <f t="shared" si="172"/>
        <v>7334</v>
      </c>
      <c r="G504" s="16">
        <f t="shared" si="154"/>
        <v>2</v>
      </c>
      <c r="H504" s="16"/>
      <c r="I504" s="15">
        <f t="shared" si="173"/>
        <v>0</v>
      </c>
      <c r="J504" s="16">
        <v>1</v>
      </c>
      <c r="K504" s="15">
        <f t="shared" si="174"/>
        <v>7334</v>
      </c>
      <c r="L504" s="15">
        <v>1</v>
      </c>
      <c r="M504" s="15">
        <f t="shared" si="175"/>
        <v>7334</v>
      </c>
      <c r="N504" s="15"/>
      <c r="O504" s="15">
        <f t="shared" si="176"/>
        <v>0</v>
      </c>
      <c r="P504" s="15"/>
      <c r="Q504" s="15">
        <f t="shared" si="169"/>
        <v>0</v>
      </c>
      <c r="R504" s="15">
        <v>0</v>
      </c>
      <c r="S504" s="15">
        <f t="shared" si="177"/>
        <v>0</v>
      </c>
      <c r="T504" s="15">
        <v>0</v>
      </c>
      <c r="U504" s="15">
        <f t="shared" si="178"/>
        <v>0</v>
      </c>
      <c r="V504" s="15">
        <f t="shared" si="171"/>
        <v>14668</v>
      </c>
      <c r="W504" s="17"/>
      <c r="X504" s="17"/>
      <c r="Y504" s="18">
        <v>1.4E-2</v>
      </c>
      <c r="Z504" s="21"/>
      <c r="AA504" s="21">
        <v>1</v>
      </c>
      <c r="AB504" s="21">
        <f t="shared" si="179"/>
        <v>7334</v>
      </c>
      <c r="AC504" s="21"/>
      <c r="AD504" s="21"/>
      <c r="AE504" s="19"/>
      <c r="AF504" s="20">
        <f>SUMIF('[1]G-Chart'!G:G,[1]Capacity!D504,'[1]G-Chart'!L:L)</f>
        <v>1159</v>
      </c>
      <c r="AG504" s="2">
        <f t="shared" si="159"/>
        <v>1159</v>
      </c>
      <c r="AH504" s="2">
        <f t="shared" si="160"/>
        <v>1159</v>
      </c>
      <c r="AI504" s="2">
        <f t="shared" si="164"/>
        <v>0</v>
      </c>
      <c r="AJ504" s="1">
        <f t="shared" si="165"/>
        <v>0</v>
      </c>
      <c r="AK504" s="1">
        <f t="shared" si="161"/>
        <v>0</v>
      </c>
      <c r="AL504" s="1">
        <f t="shared" si="162"/>
        <v>0</v>
      </c>
      <c r="AM504" s="1">
        <f t="shared" si="163"/>
        <v>2318</v>
      </c>
    </row>
    <row r="505" spans="1:39" x14ac:dyDescent="0.3">
      <c r="A505" s="12">
        <v>502</v>
      </c>
      <c r="B505" s="58" t="s">
        <v>1170</v>
      </c>
      <c r="C505" s="83" t="s">
        <v>1181</v>
      </c>
      <c r="D505" s="83" t="s">
        <v>1182</v>
      </c>
      <c r="E505" s="83" t="s">
        <v>1183</v>
      </c>
      <c r="F505" s="16">
        <f t="shared" si="172"/>
        <v>7334</v>
      </c>
      <c r="G505" s="16">
        <f t="shared" si="154"/>
        <v>2</v>
      </c>
      <c r="H505" s="16"/>
      <c r="I505" s="15">
        <f t="shared" si="173"/>
        <v>0</v>
      </c>
      <c r="J505" s="16">
        <v>1</v>
      </c>
      <c r="K505" s="15">
        <f t="shared" si="174"/>
        <v>7334</v>
      </c>
      <c r="L505" s="15">
        <v>1</v>
      </c>
      <c r="M505" s="15">
        <f t="shared" si="175"/>
        <v>7334</v>
      </c>
      <c r="N505" s="15"/>
      <c r="O505" s="15">
        <f t="shared" si="176"/>
        <v>0</v>
      </c>
      <c r="P505" s="15"/>
      <c r="Q505" s="15">
        <f t="shared" si="169"/>
        <v>0</v>
      </c>
      <c r="R505" s="15">
        <v>0</v>
      </c>
      <c r="S505" s="15">
        <f t="shared" si="177"/>
        <v>0</v>
      </c>
      <c r="T505" s="15">
        <v>0</v>
      </c>
      <c r="U505" s="15">
        <f t="shared" si="178"/>
        <v>0</v>
      </c>
      <c r="V505" s="15">
        <f t="shared" si="171"/>
        <v>14668</v>
      </c>
      <c r="W505" s="17"/>
      <c r="X505" s="17"/>
      <c r="Y505" s="18">
        <v>1.4E-2</v>
      </c>
      <c r="Z505" s="21"/>
      <c r="AA505" s="21">
        <v>1</v>
      </c>
      <c r="AB505" s="21">
        <f t="shared" si="179"/>
        <v>7334</v>
      </c>
      <c r="AC505" s="21"/>
      <c r="AD505" s="21"/>
      <c r="AE505" s="19"/>
      <c r="AF505" s="20">
        <f>SUMIF('[1]G-Chart'!G:G,[1]Capacity!D505,'[1]G-Chart'!L:L)</f>
        <v>1159</v>
      </c>
      <c r="AG505" s="2">
        <f t="shared" si="159"/>
        <v>1159</v>
      </c>
      <c r="AH505" s="2">
        <f t="shared" si="160"/>
        <v>1159</v>
      </c>
      <c r="AI505" s="2">
        <f t="shared" si="164"/>
        <v>0</v>
      </c>
      <c r="AJ505" s="1">
        <f t="shared" si="165"/>
        <v>0</v>
      </c>
      <c r="AK505" s="1">
        <f t="shared" si="161"/>
        <v>0</v>
      </c>
      <c r="AL505" s="1">
        <f t="shared" si="162"/>
        <v>0</v>
      </c>
      <c r="AM505" s="1">
        <f t="shared" si="163"/>
        <v>2318</v>
      </c>
    </row>
    <row r="506" spans="1:39" x14ac:dyDescent="0.3">
      <c r="A506" s="12">
        <v>503</v>
      </c>
      <c r="B506" s="58" t="s">
        <v>1170</v>
      </c>
      <c r="C506" s="83" t="s">
        <v>1184</v>
      </c>
      <c r="D506" s="83" t="s">
        <v>1185</v>
      </c>
      <c r="E506" s="83" t="s">
        <v>1186</v>
      </c>
      <c r="F506" s="16">
        <f t="shared" si="172"/>
        <v>7334</v>
      </c>
      <c r="G506" s="16">
        <f t="shared" si="154"/>
        <v>2</v>
      </c>
      <c r="H506" s="16"/>
      <c r="I506" s="15">
        <f t="shared" si="173"/>
        <v>0</v>
      </c>
      <c r="J506" s="16">
        <v>0.5</v>
      </c>
      <c r="K506" s="15">
        <f t="shared" si="174"/>
        <v>3667</v>
      </c>
      <c r="L506" s="15">
        <v>1.5</v>
      </c>
      <c r="M506" s="15">
        <f t="shared" si="175"/>
        <v>11001</v>
      </c>
      <c r="N506" s="15"/>
      <c r="O506" s="15">
        <f t="shared" si="176"/>
        <v>0</v>
      </c>
      <c r="P506" s="15"/>
      <c r="Q506" s="15">
        <f t="shared" si="169"/>
        <v>0</v>
      </c>
      <c r="R506" s="15">
        <v>0</v>
      </c>
      <c r="S506" s="15">
        <f t="shared" si="177"/>
        <v>0</v>
      </c>
      <c r="T506" s="15">
        <v>0</v>
      </c>
      <c r="U506" s="15">
        <f t="shared" si="178"/>
        <v>0</v>
      </c>
      <c r="V506" s="15">
        <f t="shared" si="171"/>
        <v>14668</v>
      </c>
      <c r="W506" s="17"/>
      <c r="X506" s="17"/>
      <c r="Y506" s="18">
        <v>2.3E-2</v>
      </c>
      <c r="Z506" s="21"/>
      <c r="AA506" s="21">
        <v>1</v>
      </c>
      <c r="AB506" s="21">
        <f t="shared" si="179"/>
        <v>7334</v>
      </c>
      <c r="AC506" s="21"/>
      <c r="AD506" s="21"/>
      <c r="AE506" s="19"/>
      <c r="AF506" s="20">
        <f>SUMIF('[1]G-Chart'!G:G,[1]Capacity!D506,'[1]G-Chart'!L:L)</f>
        <v>1393</v>
      </c>
      <c r="AG506" s="2">
        <f t="shared" si="159"/>
        <v>696.5</v>
      </c>
      <c r="AH506" s="2">
        <f t="shared" si="160"/>
        <v>2089.5</v>
      </c>
      <c r="AI506" s="2">
        <f t="shared" si="164"/>
        <v>0</v>
      </c>
      <c r="AJ506" s="1">
        <f t="shared" si="165"/>
        <v>0</v>
      </c>
      <c r="AK506" s="1">
        <f t="shared" si="161"/>
        <v>0</v>
      </c>
      <c r="AL506" s="1">
        <f t="shared" si="162"/>
        <v>0</v>
      </c>
      <c r="AM506" s="1">
        <f t="shared" si="163"/>
        <v>2786</v>
      </c>
    </row>
    <row r="507" spans="1:39" x14ac:dyDescent="0.3">
      <c r="A507" s="12">
        <v>504</v>
      </c>
      <c r="B507" s="58" t="s">
        <v>1170</v>
      </c>
      <c r="C507" s="83" t="s">
        <v>1187</v>
      </c>
      <c r="D507" s="83" t="s">
        <v>1188</v>
      </c>
      <c r="E507" s="83" t="s">
        <v>1189</v>
      </c>
      <c r="F507" s="16">
        <f t="shared" si="172"/>
        <v>7334</v>
      </c>
      <c r="G507" s="16">
        <f t="shared" si="154"/>
        <v>2</v>
      </c>
      <c r="H507" s="16"/>
      <c r="I507" s="15">
        <f t="shared" si="173"/>
        <v>0</v>
      </c>
      <c r="J507" s="16">
        <v>0.5</v>
      </c>
      <c r="K507" s="15">
        <f t="shared" si="174"/>
        <v>3667</v>
      </c>
      <c r="L507" s="15">
        <v>1.5</v>
      </c>
      <c r="M507" s="15">
        <f t="shared" si="175"/>
        <v>11001</v>
      </c>
      <c r="N507" s="15"/>
      <c r="O507" s="15">
        <f t="shared" si="176"/>
        <v>0</v>
      </c>
      <c r="P507" s="15"/>
      <c r="Q507" s="15">
        <f t="shared" si="169"/>
        <v>0</v>
      </c>
      <c r="R507" s="15">
        <v>0</v>
      </c>
      <c r="S507" s="15">
        <f t="shared" si="177"/>
        <v>0</v>
      </c>
      <c r="T507" s="15">
        <v>0</v>
      </c>
      <c r="U507" s="15">
        <f t="shared" si="178"/>
        <v>0</v>
      </c>
      <c r="V507" s="15">
        <f t="shared" si="171"/>
        <v>14668</v>
      </c>
      <c r="W507" s="17"/>
      <c r="X507" s="17"/>
      <c r="Y507" s="18">
        <v>2.3E-2</v>
      </c>
      <c r="Z507" s="21"/>
      <c r="AA507" s="21">
        <v>1</v>
      </c>
      <c r="AB507" s="21">
        <f t="shared" si="179"/>
        <v>7334</v>
      </c>
      <c r="AC507" s="21"/>
      <c r="AD507" s="21"/>
      <c r="AE507" s="19"/>
      <c r="AF507" s="20">
        <f>SUMIF('[1]G-Chart'!G:G,[1]Capacity!D507,'[1]G-Chart'!L:L)</f>
        <v>1393</v>
      </c>
      <c r="AG507" s="2">
        <f t="shared" si="159"/>
        <v>696.5</v>
      </c>
      <c r="AH507" s="2">
        <f t="shared" si="160"/>
        <v>2089.5</v>
      </c>
      <c r="AI507" s="2">
        <f t="shared" si="164"/>
        <v>0</v>
      </c>
      <c r="AJ507" s="1">
        <f t="shared" si="165"/>
        <v>0</v>
      </c>
      <c r="AK507" s="1">
        <f t="shared" si="161"/>
        <v>0</v>
      </c>
      <c r="AL507" s="1">
        <f t="shared" si="162"/>
        <v>0</v>
      </c>
      <c r="AM507" s="1">
        <f t="shared" si="163"/>
        <v>2786</v>
      </c>
    </row>
    <row r="508" spans="1:39" x14ac:dyDescent="0.3">
      <c r="A508" s="12">
        <v>505</v>
      </c>
      <c r="B508" s="58" t="s">
        <v>1170</v>
      </c>
      <c r="C508" s="59" t="s">
        <v>1190</v>
      </c>
      <c r="D508" s="59" t="s">
        <v>1191</v>
      </c>
      <c r="E508" s="59" t="s">
        <v>1192</v>
      </c>
      <c r="F508" s="16">
        <f t="shared" si="172"/>
        <v>7334</v>
      </c>
      <c r="G508" s="16">
        <f t="shared" si="154"/>
        <v>2.5</v>
      </c>
      <c r="H508" s="16"/>
      <c r="I508" s="15">
        <f t="shared" si="173"/>
        <v>0</v>
      </c>
      <c r="J508" s="16">
        <v>1.5</v>
      </c>
      <c r="K508" s="15">
        <f t="shared" si="174"/>
        <v>11001</v>
      </c>
      <c r="L508" s="15">
        <v>1</v>
      </c>
      <c r="M508" s="15">
        <f t="shared" si="175"/>
        <v>7334</v>
      </c>
      <c r="N508" s="15"/>
      <c r="O508" s="15">
        <f t="shared" si="176"/>
        <v>0</v>
      </c>
      <c r="P508" s="15"/>
      <c r="Q508" s="15">
        <f t="shared" si="169"/>
        <v>0</v>
      </c>
      <c r="R508" s="15">
        <v>0</v>
      </c>
      <c r="S508" s="15">
        <f t="shared" si="177"/>
        <v>0</v>
      </c>
      <c r="T508" s="15">
        <v>0</v>
      </c>
      <c r="U508" s="15">
        <f t="shared" si="178"/>
        <v>0</v>
      </c>
      <c r="V508" s="15">
        <f t="shared" si="171"/>
        <v>18335</v>
      </c>
      <c r="W508" s="17"/>
      <c r="X508" s="17"/>
      <c r="Y508" s="18">
        <v>0.16</v>
      </c>
      <c r="Z508" s="21"/>
      <c r="AA508" s="21">
        <v>1</v>
      </c>
      <c r="AB508" s="21">
        <f t="shared" si="179"/>
        <v>7334</v>
      </c>
      <c r="AC508" s="21"/>
      <c r="AD508" s="21"/>
      <c r="AE508" s="19"/>
      <c r="AF508" s="20">
        <f>SUMIF('[1]G-Chart'!G:G,[1]Capacity!D508,'[1]G-Chart'!L:L)</f>
        <v>800</v>
      </c>
      <c r="AG508" s="2">
        <f t="shared" si="159"/>
        <v>1200</v>
      </c>
      <c r="AH508" s="2">
        <f t="shared" si="160"/>
        <v>800</v>
      </c>
      <c r="AI508" s="2">
        <f t="shared" si="164"/>
        <v>0</v>
      </c>
      <c r="AJ508" s="1">
        <f t="shared" si="165"/>
        <v>0</v>
      </c>
      <c r="AK508" s="1">
        <f t="shared" si="161"/>
        <v>0</v>
      </c>
      <c r="AL508" s="1">
        <f t="shared" si="162"/>
        <v>0</v>
      </c>
      <c r="AM508" s="1">
        <f t="shared" si="163"/>
        <v>2000</v>
      </c>
    </row>
    <row r="509" spans="1:39" x14ac:dyDescent="0.3">
      <c r="A509" s="12">
        <v>506</v>
      </c>
      <c r="B509" s="58" t="s">
        <v>1170</v>
      </c>
      <c r="C509" s="59" t="s">
        <v>1193</v>
      </c>
      <c r="D509" s="59" t="s">
        <v>1194</v>
      </c>
      <c r="E509" s="59" t="s">
        <v>1195</v>
      </c>
      <c r="F509" s="16">
        <f t="shared" si="172"/>
        <v>7334</v>
      </c>
      <c r="G509" s="16">
        <f t="shared" si="154"/>
        <v>2.5</v>
      </c>
      <c r="H509" s="16"/>
      <c r="I509" s="15">
        <f t="shared" si="173"/>
        <v>0</v>
      </c>
      <c r="J509" s="16">
        <v>1.5</v>
      </c>
      <c r="K509" s="15">
        <f t="shared" si="174"/>
        <v>11001</v>
      </c>
      <c r="L509" s="15">
        <v>1</v>
      </c>
      <c r="M509" s="15">
        <f t="shared" si="175"/>
        <v>7334</v>
      </c>
      <c r="N509" s="15"/>
      <c r="O509" s="15">
        <f t="shared" si="176"/>
        <v>0</v>
      </c>
      <c r="P509" s="15"/>
      <c r="Q509" s="15">
        <f t="shared" si="169"/>
        <v>0</v>
      </c>
      <c r="R509" s="15">
        <v>0</v>
      </c>
      <c r="S509" s="15">
        <f t="shared" si="177"/>
        <v>0</v>
      </c>
      <c r="T509" s="15">
        <v>0</v>
      </c>
      <c r="U509" s="15">
        <f t="shared" si="178"/>
        <v>0</v>
      </c>
      <c r="V509" s="15">
        <f t="shared" si="171"/>
        <v>18335</v>
      </c>
      <c r="W509" s="17"/>
      <c r="X509" s="17"/>
      <c r="Y509" s="18">
        <v>0.16</v>
      </c>
      <c r="Z509" s="21"/>
      <c r="AA509" s="21">
        <v>1</v>
      </c>
      <c r="AB509" s="21">
        <f t="shared" si="179"/>
        <v>7334</v>
      </c>
      <c r="AC509" s="21"/>
      <c r="AD509" s="21"/>
      <c r="AE509" s="19"/>
      <c r="AF509" s="20">
        <f>SUMIF('[1]G-Chart'!G:G,[1]Capacity!D509,'[1]G-Chart'!L:L)</f>
        <v>800</v>
      </c>
      <c r="AG509" s="2">
        <f t="shared" si="159"/>
        <v>1200</v>
      </c>
      <c r="AH509" s="2">
        <f t="shared" si="160"/>
        <v>800</v>
      </c>
      <c r="AI509" s="2">
        <f t="shared" si="164"/>
        <v>0</v>
      </c>
      <c r="AJ509" s="1">
        <f t="shared" si="165"/>
        <v>0</v>
      </c>
      <c r="AK509" s="1">
        <f t="shared" si="161"/>
        <v>0</v>
      </c>
      <c r="AL509" s="1">
        <f t="shared" si="162"/>
        <v>0</v>
      </c>
      <c r="AM509" s="1">
        <f t="shared" si="163"/>
        <v>2000</v>
      </c>
    </row>
    <row r="510" spans="1:39" x14ac:dyDescent="0.3">
      <c r="A510" s="12">
        <v>507</v>
      </c>
      <c r="B510" s="58" t="s">
        <v>1170</v>
      </c>
      <c r="C510" s="59" t="s">
        <v>1196</v>
      </c>
      <c r="D510" s="59" t="s">
        <v>1197</v>
      </c>
      <c r="E510" s="59" t="s">
        <v>1198</v>
      </c>
      <c r="F510" s="16">
        <f t="shared" si="172"/>
        <v>7334</v>
      </c>
      <c r="G510" s="16">
        <f>H510+J510+L510+N510+P510+R510+T510</f>
        <v>2.5</v>
      </c>
      <c r="H510" s="16"/>
      <c r="I510" s="15">
        <f t="shared" si="173"/>
        <v>0</v>
      </c>
      <c r="J510" s="16">
        <v>1.5</v>
      </c>
      <c r="K510" s="15">
        <f t="shared" si="174"/>
        <v>11001</v>
      </c>
      <c r="L510" s="15">
        <v>1</v>
      </c>
      <c r="M510" s="15">
        <f>L510*F510</f>
        <v>7334</v>
      </c>
      <c r="N510" s="15"/>
      <c r="O510" s="15">
        <f t="shared" si="176"/>
        <v>0</v>
      </c>
      <c r="P510" s="15"/>
      <c r="Q510" s="15">
        <f t="shared" si="169"/>
        <v>0</v>
      </c>
      <c r="R510" s="15">
        <v>0</v>
      </c>
      <c r="S510" s="15">
        <f t="shared" si="177"/>
        <v>0</v>
      </c>
      <c r="T510" s="15">
        <v>0</v>
      </c>
      <c r="U510" s="15">
        <f t="shared" si="178"/>
        <v>0</v>
      </c>
      <c r="V510" s="15">
        <f t="shared" si="171"/>
        <v>18335</v>
      </c>
      <c r="W510" s="17"/>
      <c r="X510" s="17"/>
      <c r="Y510" s="18">
        <v>0.25</v>
      </c>
      <c r="Z510" s="21"/>
      <c r="AA510" s="21">
        <v>1</v>
      </c>
      <c r="AB510" s="21">
        <f t="shared" si="179"/>
        <v>7334</v>
      </c>
      <c r="AC510" s="21"/>
      <c r="AD510" s="21"/>
      <c r="AE510" s="19"/>
      <c r="AF510" s="20">
        <f>SUMIF('[1]G-Chart'!G:G,[1]Capacity!D510,'[1]G-Chart'!L:L)</f>
        <v>373</v>
      </c>
      <c r="AG510" s="2">
        <f t="shared" si="159"/>
        <v>559.5</v>
      </c>
      <c r="AH510" s="2">
        <f>AF510*L510</f>
        <v>373</v>
      </c>
      <c r="AI510" s="2">
        <f t="shared" si="164"/>
        <v>0</v>
      </c>
      <c r="AJ510" s="1">
        <f t="shared" si="165"/>
        <v>0</v>
      </c>
      <c r="AK510" s="1">
        <f t="shared" si="161"/>
        <v>0</v>
      </c>
      <c r="AL510" s="1">
        <f t="shared" si="162"/>
        <v>0</v>
      </c>
      <c r="AM510" s="1">
        <f t="shared" si="163"/>
        <v>932.5</v>
      </c>
    </row>
    <row r="511" spans="1:39" x14ac:dyDescent="0.3">
      <c r="A511" s="12">
        <v>508</v>
      </c>
      <c r="B511" s="58" t="s">
        <v>1170</v>
      </c>
      <c r="C511" s="59" t="s">
        <v>1199</v>
      </c>
      <c r="D511" s="59" t="s">
        <v>1200</v>
      </c>
      <c r="E511" s="59" t="s">
        <v>1201</v>
      </c>
      <c r="F511" s="16">
        <f t="shared" si="172"/>
        <v>7334</v>
      </c>
      <c r="G511" s="16">
        <f>H511+J511+L511+N511+P511+R511+T511</f>
        <v>2.5</v>
      </c>
      <c r="H511" s="16"/>
      <c r="I511" s="15">
        <f t="shared" si="173"/>
        <v>0</v>
      </c>
      <c r="J511" s="16">
        <v>1.5</v>
      </c>
      <c r="K511" s="15">
        <f t="shared" si="174"/>
        <v>11001</v>
      </c>
      <c r="L511" s="15">
        <v>1</v>
      </c>
      <c r="M511" s="15">
        <f>L511*F511</f>
        <v>7334</v>
      </c>
      <c r="N511" s="15"/>
      <c r="O511" s="15">
        <f t="shared" si="176"/>
        <v>0</v>
      </c>
      <c r="P511" s="15"/>
      <c r="Q511" s="15">
        <f t="shared" si="169"/>
        <v>0</v>
      </c>
      <c r="R511" s="15">
        <v>0</v>
      </c>
      <c r="S511" s="15">
        <f t="shared" si="177"/>
        <v>0</v>
      </c>
      <c r="T511" s="15">
        <v>0</v>
      </c>
      <c r="U511" s="15">
        <f t="shared" si="178"/>
        <v>0</v>
      </c>
      <c r="V511" s="15">
        <f t="shared" si="171"/>
        <v>18335</v>
      </c>
      <c r="W511" s="17"/>
      <c r="X511" s="17"/>
      <c r="Y511" s="18">
        <v>0.25</v>
      </c>
      <c r="Z511" s="21"/>
      <c r="AA511" s="21">
        <v>1</v>
      </c>
      <c r="AB511" s="21">
        <f t="shared" si="179"/>
        <v>7334</v>
      </c>
      <c r="AC511" s="21"/>
      <c r="AD511" s="21"/>
      <c r="AE511" s="19"/>
      <c r="AF511" s="20">
        <f>SUMIF('[1]G-Chart'!G:G,[1]Capacity!D511,'[1]G-Chart'!L:L)</f>
        <v>373</v>
      </c>
      <c r="AG511" s="2">
        <f t="shared" si="159"/>
        <v>559.5</v>
      </c>
      <c r="AH511" s="2">
        <f>AF511*L511</f>
        <v>373</v>
      </c>
      <c r="AI511" s="2">
        <f t="shared" si="164"/>
        <v>0</v>
      </c>
      <c r="AJ511" s="1">
        <f t="shared" si="165"/>
        <v>0</v>
      </c>
      <c r="AK511" s="1">
        <f t="shared" si="161"/>
        <v>0</v>
      </c>
      <c r="AL511" s="1">
        <f t="shared" si="162"/>
        <v>0</v>
      </c>
      <c r="AM511" s="1">
        <f t="shared" si="163"/>
        <v>932.5</v>
      </c>
    </row>
    <row r="512" spans="1:39" x14ac:dyDescent="0.3">
      <c r="A512" s="12">
        <v>509</v>
      </c>
      <c r="B512" s="58" t="s">
        <v>1202</v>
      </c>
      <c r="C512" s="59"/>
      <c r="D512" s="59" t="s">
        <v>1203</v>
      </c>
      <c r="E512" s="59" t="s">
        <v>973</v>
      </c>
      <c r="F512" s="16">
        <f t="shared" si="172"/>
        <v>0</v>
      </c>
      <c r="G512" s="16">
        <f t="shared" si="154"/>
        <v>2</v>
      </c>
      <c r="H512" s="16"/>
      <c r="I512" s="15">
        <f t="shared" si="173"/>
        <v>0</v>
      </c>
      <c r="J512" s="15">
        <v>0.5</v>
      </c>
      <c r="K512" s="15">
        <f t="shared" si="174"/>
        <v>0</v>
      </c>
      <c r="L512" s="15">
        <v>0.5</v>
      </c>
      <c r="M512" s="15">
        <f t="shared" si="175"/>
        <v>0</v>
      </c>
      <c r="N512" s="15"/>
      <c r="O512" s="15">
        <f t="shared" si="176"/>
        <v>0</v>
      </c>
      <c r="P512" s="15">
        <v>1</v>
      </c>
      <c r="Q512" s="15">
        <f t="shared" si="169"/>
        <v>0</v>
      </c>
      <c r="R512" s="15">
        <v>0</v>
      </c>
      <c r="S512" s="15">
        <f t="shared" si="177"/>
        <v>0</v>
      </c>
      <c r="T512" s="15">
        <v>0</v>
      </c>
      <c r="U512" s="15">
        <f t="shared" si="178"/>
        <v>0</v>
      </c>
      <c r="V512" s="15">
        <f t="shared" si="171"/>
        <v>0</v>
      </c>
      <c r="W512" s="17"/>
      <c r="X512" s="17"/>
      <c r="Y512" s="18">
        <v>0.35799999999999998</v>
      </c>
      <c r="Z512" s="21"/>
      <c r="AA512" s="21">
        <v>1</v>
      </c>
      <c r="AB512" s="21">
        <f>AA512*$AD$512</f>
        <v>0</v>
      </c>
      <c r="AC512" s="30"/>
      <c r="AD512" s="31">
        <v>0</v>
      </c>
      <c r="AE512" s="84" t="s">
        <v>1202</v>
      </c>
      <c r="AF512" s="20">
        <f>SUMIF('[1]G-Chart'!G:G,[1]Capacity!D512,'[1]G-Chart'!L:L)</f>
        <v>148</v>
      </c>
      <c r="AG512" s="2">
        <f t="shared" si="159"/>
        <v>74</v>
      </c>
      <c r="AH512" s="2">
        <f t="shared" si="160"/>
        <v>74</v>
      </c>
      <c r="AI512" s="2">
        <f t="shared" si="164"/>
        <v>0</v>
      </c>
      <c r="AJ512" s="1">
        <f t="shared" si="165"/>
        <v>148</v>
      </c>
      <c r="AK512" s="1">
        <f t="shared" si="161"/>
        <v>0</v>
      </c>
      <c r="AL512" s="1">
        <f t="shared" si="162"/>
        <v>0</v>
      </c>
      <c r="AM512" s="1">
        <f t="shared" si="163"/>
        <v>296</v>
      </c>
    </row>
    <row r="513" spans="1:44" x14ac:dyDescent="0.3">
      <c r="A513" s="12">
        <v>510</v>
      </c>
      <c r="B513" s="58" t="s">
        <v>1202</v>
      </c>
      <c r="C513" s="59"/>
      <c r="D513" s="59" t="s">
        <v>1204</v>
      </c>
      <c r="E513" s="59" t="s">
        <v>971</v>
      </c>
      <c r="F513" s="16">
        <f t="shared" si="172"/>
        <v>0</v>
      </c>
      <c r="G513" s="16">
        <f t="shared" si="154"/>
        <v>2</v>
      </c>
      <c r="H513" s="16"/>
      <c r="I513" s="15">
        <f t="shared" si="173"/>
        <v>0</v>
      </c>
      <c r="J513" s="15">
        <v>0.5</v>
      </c>
      <c r="K513" s="15">
        <f t="shared" si="174"/>
        <v>0</v>
      </c>
      <c r="L513" s="15">
        <v>0.5</v>
      </c>
      <c r="M513" s="15">
        <f t="shared" si="175"/>
        <v>0</v>
      </c>
      <c r="N513" s="15"/>
      <c r="O513" s="15">
        <f t="shared" si="176"/>
        <v>0</v>
      </c>
      <c r="P513" s="15">
        <v>1</v>
      </c>
      <c r="Q513" s="15">
        <f t="shared" si="169"/>
        <v>0</v>
      </c>
      <c r="R513" s="15">
        <v>0</v>
      </c>
      <c r="S513" s="15">
        <f t="shared" si="177"/>
        <v>0</v>
      </c>
      <c r="T513" s="15">
        <v>0</v>
      </c>
      <c r="U513" s="15">
        <f t="shared" si="178"/>
        <v>0</v>
      </c>
      <c r="V513" s="15">
        <f t="shared" si="171"/>
        <v>0</v>
      </c>
      <c r="W513" s="17"/>
      <c r="X513" s="17"/>
      <c r="Y513" s="18">
        <v>0.35799999999999998</v>
      </c>
      <c r="Z513" s="21"/>
      <c r="AA513" s="21">
        <v>1</v>
      </c>
      <c r="AB513" s="21">
        <f>AA513*$AD$512</f>
        <v>0</v>
      </c>
      <c r="AC513" s="21"/>
      <c r="AD513" s="18"/>
      <c r="AE513" s="19"/>
      <c r="AF513" s="20">
        <f>SUMIF('[1]G-Chart'!G:G,[1]Capacity!D513,'[1]G-Chart'!L:L)</f>
        <v>130</v>
      </c>
      <c r="AG513" s="2">
        <f t="shared" si="159"/>
        <v>65</v>
      </c>
      <c r="AH513" s="2">
        <f t="shared" si="160"/>
        <v>65</v>
      </c>
      <c r="AI513" s="2">
        <f t="shared" si="164"/>
        <v>0</v>
      </c>
      <c r="AJ513" s="1">
        <f t="shared" si="165"/>
        <v>130</v>
      </c>
      <c r="AK513" s="1">
        <f t="shared" si="161"/>
        <v>0</v>
      </c>
      <c r="AL513" s="1">
        <f t="shared" si="162"/>
        <v>0</v>
      </c>
      <c r="AM513" s="1">
        <f t="shared" si="163"/>
        <v>260</v>
      </c>
    </row>
    <row r="514" spans="1:44" x14ac:dyDescent="0.3">
      <c r="A514" s="12">
        <v>511</v>
      </c>
      <c r="B514" s="85" t="s">
        <v>1202</v>
      </c>
      <c r="C514" s="80"/>
      <c r="D514" s="80" t="s">
        <v>1205</v>
      </c>
      <c r="E514" s="80" t="s">
        <v>977</v>
      </c>
      <c r="F514" s="29">
        <f t="shared" si="172"/>
        <v>0</v>
      </c>
      <c r="G514" s="29">
        <f t="shared" si="154"/>
        <v>2</v>
      </c>
      <c r="H514" s="29"/>
      <c r="I514" s="28">
        <f t="shared" si="173"/>
        <v>0</v>
      </c>
      <c r="J514" s="28">
        <v>0.5</v>
      </c>
      <c r="K514" s="28">
        <f t="shared" si="174"/>
        <v>0</v>
      </c>
      <c r="L514" s="28">
        <v>0.5</v>
      </c>
      <c r="M514" s="28">
        <f t="shared" si="175"/>
        <v>0</v>
      </c>
      <c r="N514" s="28"/>
      <c r="O514" s="28">
        <f t="shared" si="176"/>
        <v>0</v>
      </c>
      <c r="P514" s="28">
        <v>1</v>
      </c>
      <c r="Q514" s="28">
        <f t="shared" si="169"/>
        <v>0</v>
      </c>
      <c r="R514" s="28">
        <v>0</v>
      </c>
      <c r="S514" s="28">
        <f t="shared" si="177"/>
        <v>0</v>
      </c>
      <c r="T514" s="28">
        <v>0</v>
      </c>
      <c r="U514" s="28">
        <f t="shared" si="178"/>
        <v>0</v>
      </c>
      <c r="V514" s="28">
        <f t="shared" si="171"/>
        <v>0</v>
      </c>
      <c r="W514" s="86"/>
      <c r="X514" s="86"/>
      <c r="Y514" s="18">
        <v>0.34899999999999998</v>
      </c>
      <c r="Z514" s="54"/>
      <c r="AA514" s="54">
        <v>1</v>
      </c>
      <c r="AB514" s="54">
        <f>AA514*$AD$512</f>
        <v>0</v>
      </c>
      <c r="AC514" s="54"/>
      <c r="AD514" s="54"/>
      <c r="AE514" s="70"/>
      <c r="AF514" s="20">
        <f>SUMIF('[1]G-Chart'!G:G,[1]Capacity!D514,'[1]G-Chart'!L:L)</f>
        <v>1337</v>
      </c>
      <c r="AG514" s="2">
        <f t="shared" si="159"/>
        <v>668.5</v>
      </c>
      <c r="AH514" s="2">
        <f t="shared" si="160"/>
        <v>668.5</v>
      </c>
      <c r="AI514" s="2">
        <f t="shared" si="164"/>
        <v>0</v>
      </c>
      <c r="AJ514" s="1">
        <f t="shared" si="165"/>
        <v>1337</v>
      </c>
      <c r="AK514" s="1">
        <f t="shared" si="161"/>
        <v>0</v>
      </c>
      <c r="AL514" s="1">
        <f t="shared" si="162"/>
        <v>0</v>
      </c>
      <c r="AM514" s="1">
        <f t="shared" si="163"/>
        <v>2674</v>
      </c>
    </row>
    <row r="515" spans="1:44" x14ac:dyDescent="0.3">
      <c r="A515" s="12">
        <v>512</v>
      </c>
      <c r="B515" s="58" t="s">
        <v>1202</v>
      </c>
      <c r="C515" s="59"/>
      <c r="D515" s="59" t="s">
        <v>1206</v>
      </c>
      <c r="E515" s="59" t="s">
        <v>975</v>
      </c>
      <c r="F515" s="28">
        <f t="shared" si="172"/>
        <v>0</v>
      </c>
      <c r="G515" s="15">
        <f>H515+J515+L515+N515+P515+R515+T515</f>
        <v>2</v>
      </c>
      <c r="H515" s="15"/>
      <c r="I515" s="15">
        <f t="shared" si="173"/>
        <v>0</v>
      </c>
      <c r="J515" s="15">
        <v>0.5</v>
      </c>
      <c r="K515" s="15">
        <f t="shared" si="174"/>
        <v>0</v>
      </c>
      <c r="L515" s="15">
        <v>0.5</v>
      </c>
      <c r="M515" s="15">
        <f t="shared" si="175"/>
        <v>0</v>
      </c>
      <c r="N515" s="15"/>
      <c r="O515" s="15">
        <f t="shared" si="176"/>
        <v>0</v>
      </c>
      <c r="P515" s="15">
        <v>1</v>
      </c>
      <c r="Q515" s="15">
        <f t="shared" si="169"/>
        <v>0</v>
      </c>
      <c r="R515" s="15">
        <v>0</v>
      </c>
      <c r="S515" s="15">
        <f t="shared" si="177"/>
        <v>0</v>
      </c>
      <c r="T515" s="15">
        <v>0</v>
      </c>
      <c r="U515" s="15">
        <f t="shared" si="178"/>
        <v>0</v>
      </c>
      <c r="V515" s="15">
        <f t="shared" si="171"/>
        <v>0</v>
      </c>
      <c r="W515" s="17"/>
      <c r="X515" s="17"/>
      <c r="Y515" s="18">
        <v>0.34899999999999998</v>
      </c>
      <c r="Z515" s="21"/>
      <c r="AA515" s="21">
        <v>1</v>
      </c>
      <c r="AB515" s="21">
        <f>AA515*$AD$512</f>
        <v>0</v>
      </c>
      <c r="AC515" s="21"/>
      <c r="AD515" s="21"/>
      <c r="AE515" s="19"/>
      <c r="AF515" s="20">
        <f>SUMIF('[1]G-Chart'!G:G,[1]Capacity!D515,'[1]G-Chart'!L:L)</f>
        <v>1060</v>
      </c>
      <c r="AG515" s="17">
        <f>AF515*J515</f>
        <v>530</v>
      </c>
      <c r="AH515" s="17">
        <f t="shared" si="160"/>
        <v>530</v>
      </c>
      <c r="AI515" s="17">
        <f t="shared" si="164"/>
        <v>0</v>
      </c>
      <c r="AJ515" s="21">
        <f t="shared" si="165"/>
        <v>1060</v>
      </c>
      <c r="AK515" s="21">
        <f t="shared" si="161"/>
        <v>0</v>
      </c>
      <c r="AL515" s="21">
        <f t="shared" si="162"/>
        <v>0</v>
      </c>
      <c r="AM515" s="21">
        <f t="shared" si="163"/>
        <v>2120</v>
      </c>
    </row>
    <row r="516" spans="1:44" x14ac:dyDescent="0.3">
      <c r="A516" s="12">
        <v>513</v>
      </c>
      <c r="B516" s="87" t="s">
        <v>1207</v>
      </c>
      <c r="C516" s="59" t="s">
        <v>1208</v>
      </c>
      <c r="D516" s="59" t="s">
        <v>1208</v>
      </c>
      <c r="E516" s="59" t="s">
        <v>1209</v>
      </c>
      <c r="F516" s="28">
        <f t="shared" si="172"/>
        <v>300</v>
      </c>
      <c r="G516" s="15">
        <f>H516+J516+L516+N516+P516+R516+T516</f>
        <v>2</v>
      </c>
      <c r="H516" s="15"/>
      <c r="I516" s="15">
        <f t="shared" si="173"/>
        <v>0</v>
      </c>
      <c r="J516" s="15"/>
      <c r="K516" s="15">
        <f t="shared" si="174"/>
        <v>0</v>
      </c>
      <c r="L516" s="15"/>
      <c r="M516" s="15">
        <f t="shared" si="175"/>
        <v>0</v>
      </c>
      <c r="N516" s="15"/>
      <c r="O516" s="15">
        <f t="shared" si="176"/>
        <v>0</v>
      </c>
      <c r="P516" s="15">
        <v>1</v>
      </c>
      <c r="Q516" s="15">
        <f t="shared" si="169"/>
        <v>300</v>
      </c>
      <c r="R516" s="15">
        <v>1</v>
      </c>
      <c r="S516" s="15">
        <f t="shared" si="177"/>
        <v>300</v>
      </c>
      <c r="T516" s="15"/>
      <c r="U516" s="15">
        <f t="shared" si="178"/>
        <v>0</v>
      </c>
      <c r="V516" s="15">
        <f>F516*G516</f>
        <v>600</v>
      </c>
      <c r="W516" s="17"/>
      <c r="X516" s="17"/>
      <c r="Y516" s="18"/>
      <c r="Z516" s="21"/>
      <c r="AA516" s="21">
        <v>3</v>
      </c>
      <c r="AB516" s="21">
        <f>AA516*$AD$516</f>
        <v>300</v>
      </c>
      <c r="AC516" s="21"/>
      <c r="AD516" s="31">
        <v>100</v>
      </c>
      <c r="AE516" s="88" t="s">
        <v>1210</v>
      </c>
      <c r="AF516" s="20">
        <f>SUMIF('[1]G-Chart'!G:G,[1]Capacity!D516,'[1]G-Chart'!L:L)</f>
        <v>621</v>
      </c>
      <c r="AG516" s="17">
        <f t="shared" ref="AG516:AG527" si="180">AF516*J516</f>
        <v>0</v>
      </c>
      <c r="AH516" s="17">
        <f t="shared" si="160"/>
        <v>0</v>
      </c>
      <c r="AI516" s="17">
        <f t="shared" si="164"/>
        <v>0</v>
      </c>
      <c r="AJ516" s="21">
        <f t="shared" si="165"/>
        <v>621</v>
      </c>
      <c r="AK516" s="21">
        <f t="shared" si="161"/>
        <v>621</v>
      </c>
      <c r="AL516" s="21">
        <f t="shared" si="162"/>
        <v>0</v>
      </c>
      <c r="AM516" s="21">
        <f t="shared" si="163"/>
        <v>1242</v>
      </c>
    </row>
    <row r="517" spans="1:44" x14ac:dyDescent="0.3">
      <c r="A517" s="12">
        <v>514</v>
      </c>
      <c r="B517" s="87" t="s">
        <v>1207</v>
      </c>
      <c r="C517" s="59" t="s">
        <v>1211</v>
      </c>
      <c r="D517" s="59" t="s">
        <v>1211</v>
      </c>
      <c r="E517" s="59" t="s">
        <v>1212</v>
      </c>
      <c r="F517" s="28">
        <f t="shared" si="172"/>
        <v>100</v>
      </c>
      <c r="G517" s="15">
        <f t="shared" ref="G517:G527" si="181">H517+J517+L517+N517+P517+R517+T517</f>
        <v>4</v>
      </c>
      <c r="H517" s="15"/>
      <c r="I517" s="15">
        <f t="shared" si="173"/>
        <v>0</v>
      </c>
      <c r="J517" s="15">
        <v>4</v>
      </c>
      <c r="K517" s="15">
        <f t="shared" si="174"/>
        <v>400</v>
      </c>
      <c r="L517" s="15"/>
      <c r="M517" s="15">
        <f t="shared" si="175"/>
        <v>0</v>
      </c>
      <c r="N517" s="15"/>
      <c r="O517" s="15">
        <f t="shared" si="176"/>
        <v>0</v>
      </c>
      <c r="P517" s="15"/>
      <c r="Q517" s="15">
        <f t="shared" si="169"/>
        <v>0</v>
      </c>
      <c r="R517" s="15"/>
      <c r="S517" s="15">
        <f t="shared" si="177"/>
        <v>0</v>
      </c>
      <c r="T517" s="15"/>
      <c r="U517" s="15">
        <f t="shared" si="178"/>
        <v>0</v>
      </c>
      <c r="V517" s="15">
        <f t="shared" si="171"/>
        <v>400</v>
      </c>
      <c r="W517" s="17"/>
      <c r="X517" s="17"/>
      <c r="Y517" s="18"/>
      <c r="Z517" s="21"/>
      <c r="AA517" s="21">
        <v>1</v>
      </c>
      <c r="AB517" s="21">
        <f t="shared" ref="AB517:AB523" si="182">AA517*$AD$516</f>
        <v>100</v>
      </c>
      <c r="AC517" s="21"/>
      <c r="AD517" s="21"/>
      <c r="AE517" s="46"/>
      <c r="AF517" s="20">
        <f>SUMIF('[1]G-Chart'!G:G,[1]Capacity!D517,'[1]G-Chart'!L:L)</f>
        <v>207</v>
      </c>
      <c r="AG517" s="17">
        <f t="shared" si="180"/>
        <v>828</v>
      </c>
      <c r="AH517" s="17">
        <f t="shared" si="160"/>
        <v>0</v>
      </c>
      <c r="AI517" s="17">
        <f t="shared" si="164"/>
        <v>0</v>
      </c>
      <c r="AJ517" s="21">
        <f t="shared" si="165"/>
        <v>0</v>
      </c>
      <c r="AK517" s="21">
        <f t="shared" si="161"/>
        <v>0</v>
      </c>
      <c r="AL517" s="21">
        <f t="shared" si="162"/>
        <v>0</v>
      </c>
      <c r="AM517" s="21">
        <f t="shared" si="163"/>
        <v>828</v>
      </c>
    </row>
    <row r="518" spans="1:44" x14ac:dyDescent="0.3">
      <c r="A518" s="12">
        <v>516</v>
      </c>
      <c r="B518" s="87" t="s">
        <v>1207</v>
      </c>
      <c r="C518" s="59" t="s">
        <v>1213</v>
      </c>
      <c r="D518" s="59" t="s">
        <v>1213</v>
      </c>
      <c r="E518" s="59" t="s">
        <v>1214</v>
      </c>
      <c r="F518" s="28">
        <f t="shared" si="172"/>
        <v>100</v>
      </c>
      <c r="G518" s="15">
        <f t="shared" si="181"/>
        <v>4</v>
      </c>
      <c r="H518" s="15"/>
      <c r="I518" s="15">
        <f t="shared" si="173"/>
        <v>0</v>
      </c>
      <c r="J518" s="15">
        <v>3</v>
      </c>
      <c r="K518" s="15">
        <f t="shared" si="174"/>
        <v>300</v>
      </c>
      <c r="L518" s="15">
        <v>1</v>
      </c>
      <c r="M518" s="15">
        <f t="shared" si="175"/>
        <v>100</v>
      </c>
      <c r="N518" s="15"/>
      <c r="O518" s="15">
        <f t="shared" si="176"/>
        <v>0</v>
      </c>
      <c r="P518" s="15"/>
      <c r="Q518" s="15">
        <f t="shared" si="169"/>
        <v>0</v>
      </c>
      <c r="R518" s="15"/>
      <c r="S518" s="15">
        <f t="shared" si="177"/>
        <v>0</v>
      </c>
      <c r="T518" s="15"/>
      <c r="U518" s="15">
        <f t="shared" si="178"/>
        <v>0</v>
      </c>
      <c r="V518" s="15">
        <f t="shared" si="171"/>
        <v>400</v>
      </c>
      <c r="W518" s="17"/>
      <c r="X518" s="17"/>
      <c r="Y518" s="18"/>
      <c r="Z518" s="21"/>
      <c r="AA518" s="21">
        <v>1</v>
      </c>
      <c r="AB518" s="21">
        <f t="shared" si="182"/>
        <v>100</v>
      </c>
      <c r="AC518" s="21"/>
      <c r="AD518" s="21"/>
      <c r="AE518" s="46"/>
      <c r="AF518" s="20">
        <f>SUMIF('[1]G-Chart'!G:G,[1]Capacity!D518,'[1]G-Chart'!L:L)</f>
        <v>207</v>
      </c>
      <c r="AG518" s="17">
        <f t="shared" si="180"/>
        <v>621</v>
      </c>
      <c r="AH518" s="17">
        <f t="shared" si="160"/>
        <v>207</v>
      </c>
      <c r="AI518" s="17">
        <f t="shared" si="164"/>
        <v>0</v>
      </c>
      <c r="AJ518" s="21">
        <f t="shared" si="165"/>
        <v>0</v>
      </c>
      <c r="AK518" s="21">
        <f t="shared" si="161"/>
        <v>0</v>
      </c>
      <c r="AL518" s="21">
        <f t="shared" si="162"/>
        <v>0</v>
      </c>
      <c r="AM518" s="21">
        <f t="shared" si="163"/>
        <v>828</v>
      </c>
    </row>
    <row r="519" spans="1:44" x14ac:dyDescent="0.3">
      <c r="A519" s="12">
        <v>517</v>
      </c>
      <c r="B519" s="87" t="s">
        <v>1207</v>
      </c>
      <c r="C519" s="59" t="s">
        <v>1215</v>
      </c>
      <c r="D519" s="59" t="s">
        <v>1215</v>
      </c>
      <c r="E519" s="59" t="s">
        <v>1216</v>
      </c>
      <c r="F519" s="28">
        <f t="shared" si="172"/>
        <v>100</v>
      </c>
      <c r="G519" s="15">
        <f t="shared" si="181"/>
        <v>1</v>
      </c>
      <c r="H519" s="15"/>
      <c r="I519" s="15">
        <f t="shared" si="173"/>
        <v>0</v>
      </c>
      <c r="J519" s="15"/>
      <c r="K519" s="15">
        <f t="shared" si="174"/>
        <v>0</v>
      </c>
      <c r="L519" s="15"/>
      <c r="M519" s="15">
        <f t="shared" si="175"/>
        <v>0</v>
      </c>
      <c r="N519" s="15"/>
      <c r="O519" s="15">
        <f t="shared" si="176"/>
        <v>0</v>
      </c>
      <c r="P519" s="15"/>
      <c r="Q519" s="15">
        <f t="shared" si="169"/>
        <v>0</v>
      </c>
      <c r="R519" s="15">
        <v>1</v>
      </c>
      <c r="S519" s="15">
        <f t="shared" si="177"/>
        <v>100</v>
      </c>
      <c r="T519" s="15"/>
      <c r="U519" s="15">
        <f t="shared" si="178"/>
        <v>0</v>
      </c>
      <c r="V519" s="15">
        <f t="shared" si="171"/>
        <v>100</v>
      </c>
      <c r="W519" s="17"/>
      <c r="X519" s="17"/>
      <c r="Y519" s="18"/>
      <c r="Z519" s="21"/>
      <c r="AA519" s="21">
        <v>1</v>
      </c>
      <c r="AB519" s="21">
        <f t="shared" si="182"/>
        <v>100</v>
      </c>
      <c r="AC519" s="21"/>
      <c r="AD519" s="21"/>
      <c r="AE519" s="46"/>
      <c r="AF519" s="20">
        <f>SUMIF('[1]G-Chart'!G:G,[1]Capacity!D519,'[1]G-Chart'!L:L)</f>
        <v>207</v>
      </c>
      <c r="AG519" s="17">
        <f t="shared" si="180"/>
        <v>0</v>
      </c>
      <c r="AH519" s="17">
        <f t="shared" si="160"/>
        <v>0</v>
      </c>
      <c r="AI519" s="17">
        <f t="shared" si="164"/>
        <v>0</v>
      </c>
      <c r="AJ519" s="21">
        <f t="shared" si="165"/>
        <v>0</v>
      </c>
      <c r="AK519" s="21">
        <f t="shared" si="161"/>
        <v>207</v>
      </c>
      <c r="AL519" s="21">
        <f t="shared" si="162"/>
        <v>0</v>
      </c>
      <c r="AM519" s="21">
        <f t="shared" si="163"/>
        <v>207</v>
      </c>
    </row>
    <row r="520" spans="1:44" x14ac:dyDescent="0.3">
      <c r="A520" s="12">
        <v>518</v>
      </c>
      <c r="B520" s="87" t="s">
        <v>1207</v>
      </c>
      <c r="C520" s="59" t="s">
        <v>1217</v>
      </c>
      <c r="D520" s="59" t="s">
        <v>1217</v>
      </c>
      <c r="E520" s="59" t="s">
        <v>1218</v>
      </c>
      <c r="F520" s="28">
        <f t="shared" si="172"/>
        <v>100</v>
      </c>
      <c r="G520" s="15">
        <f t="shared" si="181"/>
        <v>2</v>
      </c>
      <c r="H520" s="15"/>
      <c r="I520" s="15">
        <f t="shared" si="173"/>
        <v>0</v>
      </c>
      <c r="J520" s="15"/>
      <c r="K520" s="15">
        <f t="shared" si="174"/>
        <v>0</v>
      </c>
      <c r="L520" s="15"/>
      <c r="M520" s="15">
        <f t="shared" si="175"/>
        <v>0</v>
      </c>
      <c r="N520" s="15"/>
      <c r="O520" s="15">
        <f t="shared" si="176"/>
        <v>0</v>
      </c>
      <c r="P520" s="15">
        <v>2</v>
      </c>
      <c r="Q520" s="15">
        <f t="shared" si="169"/>
        <v>200</v>
      </c>
      <c r="R520" s="15"/>
      <c r="S520" s="15">
        <f t="shared" si="177"/>
        <v>0</v>
      </c>
      <c r="T520" s="15"/>
      <c r="U520" s="15">
        <f t="shared" si="178"/>
        <v>0</v>
      </c>
      <c r="V520" s="15">
        <f t="shared" si="171"/>
        <v>200</v>
      </c>
      <c r="W520" s="17"/>
      <c r="X520" s="17"/>
      <c r="Y520" s="18"/>
      <c r="Z520" s="21"/>
      <c r="AA520" s="21">
        <v>1</v>
      </c>
      <c r="AB520" s="21">
        <f t="shared" si="182"/>
        <v>100</v>
      </c>
      <c r="AC520" s="21"/>
      <c r="AD520" s="21"/>
      <c r="AE520" s="46"/>
      <c r="AF520" s="20">
        <f>SUMIF('[1]G-Chart'!G:G,[1]Capacity!D520,'[1]G-Chart'!L:L)</f>
        <v>282</v>
      </c>
      <c r="AG520" s="17">
        <f t="shared" si="180"/>
        <v>0</v>
      </c>
      <c r="AH520" s="17">
        <f t="shared" si="160"/>
        <v>0</v>
      </c>
      <c r="AI520" s="17">
        <f t="shared" si="164"/>
        <v>0</v>
      </c>
      <c r="AJ520" s="21">
        <f t="shared" si="165"/>
        <v>564</v>
      </c>
      <c r="AK520" s="21">
        <f t="shared" si="161"/>
        <v>0</v>
      </c>
      <c r="AL520" s="21">
        <f t="shared" si="162"/>
        <v>0</v>
      </c>
      <c r="AM520" s="21">
        <f t="shared" si="163"/>
        <v>564</v>
      </c>
    </row>
    <row r="521" spans="1:44" x14ac:dyDescent="0.3">
      <c r="A521" s="12">
        <v>519</v>
      </c>
      <c r="B521" s="87" t="s">
        <v>1207</v>
      </c>
      <c r="C521" s="59" t="s">
        <v>1219</v>
      </c>
      <c r="D521" s="59" t="s">
        <v>1219</v>
      </c>
      <c r="E521" s="59" t="s">
        <v>1220</v>
      </c>
      <c r="F521" s="28">
        <f t="shared" si="172"/>
        <v>100</v>
      </c>
      <c r="G521" s="15">
        <f t="shared" si="181"/>
        <v>3</v>
      </c>
      <c r="H521" s="15"/>
      <c r="I521" s="15">
        <f t="shared" si="173"/>
        <v>0</v>
      </c>
      <c r="J521" s="15">
        <v>3</v>
      </c>
      <c r="K521" s="15">
        <f t="shared" si="174"/>
        <v>300</v>
      </c>
      <c r="L521" s="15"/>
      <c r="M521" s="15">
        <f t="shared" si="175"/>
        <v>0</v>
      </c>
      <c r="N521" s="15"/>
      <c r="O521" s="15">
        <f t="shared" si="176"/>
        <v>0</v>
      </c>
      <c r="P521" s="15"/>
      <c r="Q521" s="15">
        <f t="shared" si="169"/>
        <v>0</v>
      </c>
      <c r="R521" s="15"/>
      <c r="S521" s="15">
        <f t="shared" si="177"/>
        <v>0</v>
      </c>
      <c r="T521" s="15"/>
      <c r="U521" s="15">
        <f t="shared" si="178"/>
        <v>0</v>
      </c>
      <c r="V521" s="15">
        <f t="shared" si="171"/>
        <v>300</v>
      </c>
      <c r="W521" s="17"/>
      <c r="X521" s="17"/>
      <c r="Y521" s="18"/>
      <c r="Z521" s="21"/>
      <c r="AA521" s="21">
        <v>1</v>
      </c>
      <c r="AB521" s="21">
        <f t="shared" si="182"/>
        <v>100</v>
      </c>
      <c r="AC521" s="21"/>
      <c r="AD521" s="21"/>
      <c r="AE521" s="46"/>
      <c r="AF521" s="20">
        <f>SUMIF('[1]G-Chart'!G:G,[1]Capacity!D521,'[1]G-Chart'!L:L)</f>
        <v>294</v>
      </c>
      <c r="AG521" s="17">
        <f t="shared" si="180"/>
        <v>882</v>
      </c>
      <c r="AH521" s="17">
        <f t="shared" si="160"/>
        <v>0</v>
      </c>
      <c r="AI521" s="17">
        <f t="shared" si="164"/>
        <v>0</v>
      </c>
      <c r="AJ521" s="21">
        <f t="shared" si="165"/>
        <v>0</v>
      </c>
      <c r="AK521" s="21">
        <f t="shared" si="161"/>
        <v>0</v>
      </c>
      <c r="AL521" s="21">
        <f t="shared" si="162"/>
        <v>0</v>
      </c>
      <c r="AM521" s="21">
        <f t="shared" si="163"/>
        <v>882</v>
      </c>
    </row>
    <row r="522" spans="1:44" x14ac:dyDescent="0.3">
      <c r="A522" s="12">
        <v>520</v>
      </c>
      <c r="B522" s="87" t="s">
        <v>1207</v>
      </c>
      <c r="C522" s="59" t="s">
        <v>1221</v>
      </c>
      <c r="D522" s="59" t="s">
        <v>1221</v>
      </c>
      <c r="E522" s="59" t="s">
        <v>1222</v>
      </c>
      <c r="F522" s="28">
        <f t="shared" si="172"/>
        <v>100</v>
      </c>
      <c r="G522" s="15">
        <f t="shared" si="181"/>
        <v>3</v>
      </c>
      <c r="H522" s="15"/>
      <c r="I522" s="15">
        <f t="shared" si="173"/>
        <v>0</v>
      </c>
      <c r="J522" s="15">
        <v>3</v>
      </c>
      <c r="K522" s="15">
        <f t="shared" si="174"/>
        <v>300</v>
      </c>
      <c r="L522" s="15"/>
      <c r="M522" s="15">
        <f t="shared" si="175"/>
        <v>0</v>
      </c>
      <c r="N522" s="15"/>
      <c r="O522" s="15">
        <f t="shared" si="176"/>
        <v>0</v>
      </c>
      <c r="P522" s="15"/>
      <c r="Q522" s="15">
        <f t="shared" si="169"/>
        <v>0</v>
      </c>
      <c r="R522" s="15"/>
      <c r="S522" s="15">
        <f t="shared" si="177"/>
        <v>0</v>
      </c>
      <c r="T522" s="15"/>
      <c r="U522" s="15">
        <f t="shared" si="178"/>
        <v>0</v>
      </c>
      <c r="V522" s="15">
        <f t="shared" si="171"/>
        <v>300</v>
      </c>
      <c r="W522" s="17"/>
      <c r="X522" s="17"/>
      <c r="Y522" s="18"/>
      <c r="Z522" s="21"/>
      <c r="AA522" s="21">
        <v>1</v>
      </c>
      <c r="AB522" s="21">
        <f t="shared" si="182"/>
        <v>100</v>
      </c>
      <c r="AC522" s="21"/>
      <c r="AD522" s="21"/>
      <c r="AE522" s="46"/>
      <c r="AF522" s="20">
        <f>SUMIF('[1]G-Chart'!G:G,[1]Capacity!D522,'[1]G-Chart'!L:L)</f>
        <v>298</v>
      </c>
      <c r="AG522" s="17">
        <f t="shared" si="180"/>
        <v>894</v>
      </c>
      <c r="AH522" s="17">
        <f t="shared" si="160"/>
        <v>0</v>
      </c>
      <c r="AI522" s="17">
        <f t="shared" si="164"/>
        <v>0</v>
      </c>
      <c r="AJ522" s="21">
        <f t="shared" si="165"/>
        <v>0</v>
      </c>
      <c r="AK522" s="21">
        <f t="shared" si="161"/>
        <v>0</v>
      </c>
      <c r="AL522" s="21">
        <f t="shared" si="162"/>
        <v>0</v>
      </c>
      <c r="AM522" s="21">
        <f t="shared" si="163"/>
        <v>894</v>
      </c>
    </row>
    <row r="523" spans="1:44" x14ac:dyDescent="0.3">
      <c r="A523" s="12">
        <v>521</v>
      </c>
      <c r="B523" s="87" t="s">
        <v>1207</v>
      </c>
      <c r="C523" s="59" t="s">
        <v>1223</v>
      </c>
      <c r="D523" s="59" t="s">
        <v>1223</v>
      </c>
      <c r="E523" s="59" t="s">
        <v>1224</v>
      </c>
      <c r="F523" s="28">
        <f t="shared" si="172"/>
        <v>200</v>
      </c>
      <c r="G523" s="15">
        <f t="shared" si="181"/>
        <v>4</v>
      </c>
      <c r="H523" s="15"/>
      <c r="I523" s="15">
        <f t="shared" si="173"/>
        <v>0</v>
      </c>
      <c r="J523" s="15"/>
      <c r="K523" s="15">
        <f t="shared" si="174"/>
        <v>0</v>
      </c>
      <c r="L523" s="15"/>
      <c r="M523" s="15">
        <f t="shared" si="175"/>
        <v>0</v>
      </c>
      <c r="N523" s="15">
        <v>4</v>
      </c>
      <c r="O523" s="15">
        <f t="shared" si="176"/>
        <v>800</v>
      </c>
      <c r="P523" s="15"/>
      <c r="Q523" s="15">
        <f t="shared" si="169"/>
        <v>0</v>
      </c>
      <c r="R523" s="15"/>
      <c r="S523" s="15">
        <f t="shared" si="177"/>
        <v>0</v>
      </c>
      <c r="T523" s="15"/>
      <c r="U523" s="15">
        <f t="shared" si="178"/>
        <v>0</v>
      </c>
      <c r="V523" s="15">
        <f t="shared" si="171"/>
        <v>800</v>
      </c>
      <c r="W523" s="17"/>
      <c r="X523" s="17"/>
      <c r="Y523" s="18"/>
      <c r="Z523" s="21"/>
      <c r="AA523" s="21">
        <v>2</v>
      </c>
      <c r="AB523" s="21">
        <f t="shared" si="182"/>
        <v>200</v>
      </c>
      <c r="AC523" s="21"/>
      <c r="AD523" s="21"/>
      <c r="AE523" s="46"/>
      <c r="AF523" s="20">
        <f>SUMIF('[1]G-Chart'!G:G,[1]Capacity!D523,'[1]G-Chart'!L:L)</f>
        <v>414</v>
      </c>
      <c r="AG523" s="17">
        <f t="shared" si="180"/>
        <v>0</v>
      </c>
      <c r="AH523" s="17">
        <f t="shared" si="160"/>
        <v>0</v>
      </c>
      <c r="AI523" s="17">
        <f t="shared" si="164"/>
        <v>1656</v>
      </c>
      <c r="AJ523" s="21">
        <f t="shared" si="165"/>
        <v>0</v>
      </c>
      <c r="AK523" s="21">
        <f t="shared" si="161"/>
        <v>0</v>
      </c>
      <c r="AL523" s="21">
        <f t="shared" si="162"/>
        <v>0</v>
      </c>
      <c r="AM523" s="21">
        <f t="shared" si="163"/>
        <v>1656</v>
      </c>
    </row>
    <row r="524" spans="1:44" x14ac:dyDescent="0.3">
      <c r="A524" s="12">
        <v>522</v>
      </c>
      <c r="B524" s="87" t="s">
        <v>1225</v>
      </c>
      <c r="C524" s="59" t="s">
        <v>1226</v>
      </c>
      <c r="D524" s="59" t="s">
        <v>1226</v>
      </c>
      <c r="E524" s="59" t="s">
        <v>1227</v>
      </c>
      <c r="F524" s="28">
        <f t="shared" si="172"/>
        <v>10000</v>
      </c>
      <c r="G524" s="15">
        <f t="shared" si="181"/>
        <v>4</v>
      </c>
      <c r="H524" s="15"/>
      <c r="I524" s="15">
        <f t="shared" si="173"/>
        <v>0</v>
      </c>
      <c r="J524" s="15"/>
      <c r="K524" s="15">
        <f t="shared" si="174"/>
        <v>0</v>
      </c>
      <c r="L524" s="15">
        <v>1</v>
      </c>
      <c r="M524" s="15">
        <f t="shared" si="175"/>
        <v>10000</v>
      </c>
      <c r="N524" s="15">
        <v>2</v>
      </c>
      <c r="O524" s="15">
        <f t="shared" si="176"/>
        <v>20000</v>
      </c>
      <c r="P524" s="15">
        <v>1</v>
      </c>
      <c r="Q524" s="15">
        <f t="shared" si="169"/>
        <v>10000</v>
      </c>
      <c r="R524" s="15"/>
      <c r="S524" s="15">
        <f t="shared" si="177"/>
        <v>0</v>
      </c>
      <c r="T524" s="15"/>
      <c r="U524" s="15">
        <f t="shared" si="178"/>
        <v>0</v>
      </c>
      <c r="V524" s="15">
        <f t="shared" si="171"/>
        <v>40000</v>
      </c>
      <c r="W524" s="17"/>
      <c r="X524" s="17"/>
      <c r="Y524" s="18"/>
      <c r="Z524" s="21"/>
      <c r="AA524" s="21">
        <v>1</v>
      </c>
      <c r="AB524" s="21">
        <f>AA524*$AD$524</f>
        <v>10000</v>
      </c>
      <c r="AC524" s="21"/>
      <c r="AD524" s="89">
        <v>10000</v>
      </c>
      <c r="AE524" s="88" t="s">
        <v>1228</v>
      </c>
      <c r="AF524" s="20">
        <f>SUMIF('[1]G-Chart'!G:G,[1]Capacity!D524,'[1]G-Chart'!L:L)</f>
        <v>2457</v>
      </c>
      <c r="AG524" s="17">
        <f t="shared" si="180"/>
        <v>0</v>
      </c>
      <c r="AH524" s="17">
        <f t="shared" si="160"/>
        <v>2457</v>
      </c>
      <c r="AI524" s="17">
        <f t="shared" si="164"/>
        <v>4914</v>
      </c>
      <c r="AJ524" s="21">
        <f t="shared" si="165"/>
        <v>2457</v>
      </c>
      <c r="AK524" s="21">
        <f t="shared" si="161"/>
        <v>0</v>
      </c>
      <c r="AL524" s="21">
        <f t="shared" si="162"/>
        <v>0</v>
      </c>
      <c r="AM524" s="21">
        <f t="shared" si="163"/>
        <v>9828</v>
      </c>
    </row>
    <row r="525" spans="1:44" x14ac:dyDescent="0.3">
      <c r="A525" s="12">
        <v>523</v>
      </c>
      <c r="B525" s="87" t="s">
        <v>1225</v>
      </c>
      <c r="C525" s="59" t="s">
        <v>1229</v>
      </c>
      <c r="D525" s="59" t="s">
        <v>1229</v>
      </c>
      <c r="E525" s="59" t="s">
        <v>1230</v>
      </c>
      <c r="F525" s="28">
        <f t="shared" si="172"/>
        <v>10000</v>
      </c>
      <c r="G525" s="15">
        <f t="shared" si="181"/>
        <v>4</v>
      </c>
      <c r="H525" s="15"/>
      <c r="I525" s="15">
        <f t="shared" si="173"/>
        <v>0</v>
      </c>
      <c r="J525" s="15"/>
      <c r="K525" s="15">
        <f t="shared" si="174"/>
        <v>0</v>
      </c>
      <c r="L525" s="15"/>
      <c r="M525" s="15">
        <f t="shared" si="175"/>
        <v>0</v>
      </c>
      <c r="N525" s="15"/>
      <c r="O525" s="15">
        <f t="shared" si="176"/>
        <v>0</v>
      </c>
      <c r="P525" s="15">
        <v>1</v>
      </c>
      <c r="Q525" s="15">
        <f t="shared" si="169"/>
        <v>10000</v>
      </c>
      <c r="R525" s="15">
        <v>3</v>
      </c>
      <c r="S525" s="15">
        <f t="shared" si="177"/>
        <v>30000</v>
      </c>
      <c r="T525" s="15"/>
      <c r="U525" s="15">
        <f t="shared" si="178"/>
        <v>0</v>
      </c>
      <c r="V525" s="15">
        <f t="shared" si="171"/>
        <v>40000</v>
      </c>
      <c r="W525" s="17"/>
      <c r="X525" s="17"/>
      <c r="Y525" s="18"/>
      <c r="Z525" s="21"/>
      <c r="AA525" s="21">
        <v>1</v>
      </c>
      <c r="AB525" s="21">
        <f>AA525*$AD$524</f>
        <v>10000</v>
      </c>
      <c r="AC525" s="21"/>
      <c r="AD525" s="21"/>
      <c r="AE525" s="46"/>
      <c r="AF525" s="20">
        <f>SUMIF('[1]G-Chart'!G:G,[1]Capacity!D525,'[1]G-Chart'!L:L)</f>
        <v>4401</v>
      </c>
      <c r="AG525" s="17">
        <f t="shared" si="180"/>
        <v>0</v>
      </c>
      <c r="AH525" s="17">
        <f t="shared" si="160"/>
        <v>0</v>
      </c>
      <c r="AI525" s="17">
        <f t="shared" si="164"/>
        <v>0</v>
      </c>
      <c r="AJ525" s="21">
        <f t="shared" si="165"/>
        <v>4401</v>
      </c>
      <c r="AK525" s="21">
        <f t="shared" si="161"/>
        <v>13203</v>
      </c>
      <c r="AL525" s="21">
        <f t="shared" si="162"/>
        <v>0</v>
      </c>
      <c r="AM525" s="21">
        <f t="shared" si="163"/>
        <v>17604</v>
      </c>
    </row>
    <row r="526" spans="1:44" x14ac:dyDescent="0.3">
      <c r="A526" s="12">
        <v>524</v>
      </c>
      <c r="B526" s="87" t="s">
        <v>1225</v>
      </c>
      <c r="C526" s="59" t="s">
        <v>1231</v>
      </c>
      <c r="D526" s="59" t="s">
        <v>1231</v>
      </c>
      <c r="E526" s="59" t="s">
        <v>1232</v>
      </c>
      <c r="F526" s="28">
        <f t="shared" si="172"/>
        <v>10000</v>
      </c>
      <c r="G526" s="15">
        <f t="shared" si="181"/>
        <v>4</v>
      </c>
      <c r="H526" s="15"/>
      <c r="I526" s="15">
        <f t="shared" si="173"/>
        <v>0</v>
      </c>
      <c r="J526" s="15"/>
      <c r="K526" s="15">
        <f t="shared" si="174"/>
        <v>0</v>
      </c>
      <c r="L526" s="15"/>
      <c r="M526" s="15">
        <f t="shared" si="175"/>
        <v>0</v>
      </c>
      <c r="N526" s="15">
        <v>4</v>
      </c>
      <c r="O526" s="15">
        <f t="shared" si="176"/>
        <v>40000</v>
      </c>
      <c r="P526" s="15"/>
      <c r="Q526" s="15">
        <f t="shared" si="169"/>
        <v>0</v>
      </c>
      <c r="R526" s="15"/>
      <c r="S526" s="15">
        <f t="shared" si="177"/>
        <v>0</v>
      </c>
      <c r="T526" s="15"/>
      <c r="U526" s="15">
        <f t="shared" si="178"/>
        <v>0</v>
      </c>
      <c r="V526" s="15">
        <f t="shared" si="171"/>
        <v>40000</v>
      </c>
      <c r="W526" s="17"/>
      <c r="X526" s="17"/>
      <c r="Y526" s="18"/>
      <c r="Z526" s="21"/>
      <c r="AA526" s="21">
        <v>1</v>
      </c>
      <c r="AB526" s="21">
        <f>AA526*$AD$524</f>
        <v>10000</v>
      </c>
      <c r="AC526" s="21"/>
      <c r="AD526" s="21"/>
      <c r="AE526" s="46"/>
      <c r="AF526" s="20">
        <f>SUMIF('[1]G-Chart'!G:G,[1]Capacity!D526,'[1]G-Chart'!L:L)</f>
        <v>1543</v>
      </c>
      <c r="AG526" s="17">
        <f t="shared" si="180"/>
        <v>0</v>
      </c>
      <c r="AH526" s="17">
        <f t="shared" si="160"/>
        <v>0</v>
      </c>
      <c r="AI526" s="17">
        <f t="shared" si="164"/>
        <v>6172</v>
      </c>
      <c r="AJ526" s="21">
        <f t="shared" si="165"/>
        <v>0</v>
      </c>
      <c r="AK526" s="21">
        <f t="shared" si="161"/>
        <v>0</v>
      </c>
      <c r="AL526" s="21">
        <f t="shared" si="162"/>
        <v>0</v>
      </c>
      <c r="AM526" s="21">
        <f t="shared" si="163"/>
        <v>6172</v>
      </c>
    </row>
    <row r="527" spans="1:44" x14ac:dyDescent="0.3">
      <c r="A527" s="12">
        <v>525</v>
      </c>
      <c r="B527" s="87" t="s">
        <v>1225</v>
      </c>
      <c r="C527" s="59" t="s">
        <v>1233</v>
      </c>
      <c r="D527" s="59" t="s">
        <v>1233</v>
      </c>
      <c r="E527" s="59" t="s">
        <v>1234</v>
      </c>
      <c r="F527" s="28">
        <f t="shared" si="172"/>
        <v>10000</v>
      </c>
      <c r="G527" s="15">
        <f t="shared" si="181"/>
        <v>5</v>
      </c>
      <c r="H527" s="15"/>
      <c r="I527" s="15">
        <f t="shared" si="173"/>
        <v>0</v>
      </c>
      <c r="J527" s="15"/>
      <c r="K527" s="15">
        <f t="shared" si="174"/>
        <v>0</v>
      </c>
      <c r="L527" s="15"/>
      <c r="M527" s="15">
        <f t="shared" si="175"/>
        <v>0</v>
      </c>
      <c r="N527" s="15">
        <v>5</v>
      </c>
      <c r="O527" s="15">
        <f t="shared" si="176"/>
        <v>50000</v>
      </c>
      <c r="P527" s="15"/>
      <c r="Q527" s="15">
        <f t="shared" si="169"/>
        <v>0</v>
      </c>
      <c r="R527" s="15"/>
      <c r="S527" s="15">
        <f t="shared" si="177"/>
        <v>0</v>
      </c>
      <c r="T527" s="15"/>
      <c r="U527" s="15">
        <f t="shared" si="178"/>
        <v>0</v>
      </c>
      <c r="V527" s="15">
        <f t="shared" si="171"/>
        <v>50000</v>
      </c>
      <c r="W527" s="17"/>
      <c r="X527" s="17"/>
      <c r="Y527" s="18"/>
      <c r="Z527" s="21"/>
      <c r="AA527" s="21">
        <v>1</v>
      </c>
      <c r="AB527" s="21">
        <f>AA527*$AD$524</f>
        <v>10000</v>
      </c>
      <c r="AC527" s="21"/>
      <c r="AD527" s="21"/>
      <c r="AE527" s="46"/>
      <c r="AF527" s="20">
        <f>SUMIF('[1]G-Chart'!G:G,[1]Capacity!D527,'[1]G-Chart'!L:L)</f>
        <v>1589</v>
      </c>
      <c r="AG527" s="17">
        <f t="shared" si="180"/>
        <v>0</v>
      </c>
      <c r="AH527" s="17">
        <f t="shared" si="160"/>
        <v>0</v>
      </c>
      <c r="AI527" s="17">
        <f t="shared" si="164"/>
        <v>7945</v>
      </c>
      <c r="AJ527" s="21">
        <f t="shared" si="165"/>
        <v>0</v>
      </c>
      <c r="AK527" s="21">
        <f t="shared" si="161"/>
        <v>0</v>
      </c>
      <c r="AL527" s="21">
        <f t="shared" si="162"/>
        <v>0</v>
      </c>
      <c r="AM527" s="21">
        <f t="shared" si="163"/>
        <v>7945</v>
      </c>
    </row>
    <row r="528" spans="1:44" x14ac:dyDescent="0.3">
      <c r="A528" s="12">
        <v>526</v>
      </c>
      <c r="B528" s="87" t="s">
        <v>1235</v>
      </c>
      <c r="C528" s="90"/>
      <c r="D528" s="91" t="s">
        <v>1236</v>
      </c>
      <c r="E528" s="59" t="s">
        <v>1237</v>
      </c>
      <c r="F528" s="15">
        <f t="shared" si="172"/>
        <v>0</v>
      </c>
      <c r="G528" s="15">
        <v>3</v>
      </c>
      <c r="H528" s="15"/>
      <c r="I528" s="15">
        <v>0</v>
      </c>
      <c r="J528" s="15">
        <v>0</v>
      </c>
      <c r="K528" s="15">
        <f t="shared" si="174"/>
        <v>0</v>
      </c>
      <c r="L528" s="15">
        <v>0</v>
      </c>
      <c r="M528" s="15">
        <f t="shared" si="175"/>
        <v>0</v>
      </c>
      <c r="N528" s="15"/>
      <c r="O528" s="15">
        <f t="shared" si="176"/>
        <v>0</v>
      </c>
      <c r="P528" s="15">
        <v>2</v>
      </c>
      <c r="Q528" s="15">
        <f t="shared" si="169"/>
        <v>0</v>
      </c>
      <c r="R528" s="15">
        <v>0</v>
      </c>
      <c r="S528" s="15">
        <f t="shared" si="177"/>
        <v>0</v>
      </c>
      <c r="T528" s="15">
        <v>1</v>
      </c>
      <c r="U528" s="15">
        <f t="shared" si="178"/>
        <v>0</v>
      </c>
      <c r="V528" s="15">
        <f t="shared" si="171"/>
        <v>0</v>
      </c>
      <c r="W528" s="17"/>
      <c r="X528" s="17"/>
      <c r="Y528" s="18">
        <v>0.02</v>
      </c>
      <c r="Z528" s="21"/>
      <c r="AA528" s="21">
        <v>1</v>
      </c>
      <c r="AB528" s="21"/>
      <c r="AC528" s="21"/>
      <c r="AD528" s="31">
        <v>280</v>
      </c>
      <c r="AE528" s="51" t="s">
        <v>1238</v>
      </c>
      <c r="AF528" s="20">
        <f>SUMIF('[1]G-Chart'!G:G,[1]Capacity!D528,'[1]G-Chart'!L:L)</f>
        <v>915</v>
      </c>
      <c r="AG528" s="17">
        <f t="shared" si="159"/>
        <v>0</v>
      </c>
      <c r="AH528" s="17">
        <f t="shared" si="160"/>
        <v>0</v>
      </c>
      <c r="AI528" s="15">
        <v>0</v>
      </c>
      <c r="AJ528" s="21">
        <f t="shared" si="165"/>
        <v>1830</v>
      </c>
      <c r="AK528" s="21">
        <f t="shared" si="161"/>
        <v>0</v>
      </c>
      <c r="AL528" s="21">
        <f t="shared" si="162"/>
        <v>915</v>
      </c>
      <c r="AM528" s="21">
        <f t="shared" si="163"/>
        <v>2745</v>
      </c>
      <c r="AN528" s="28">
        <f>AM528*AC528</f>
        <v>0</v>
      </c>
      <c r="AO528" s="15">
        <v>0</v>
      </c>
      <c r="AP528" s="92">
        <f>AO528*AC528</f>
        <v>0</v>
      </c>
      <c r="AQ528" s="15">
        <v>1</v>
      </c>
      <c r="AR528" s="28">
        <f>AQ528*AC528</f>
        <v>0</v>
      </c>
    </row>
    <row r="529" spans="1:44" x14ac:dyDescent="0.3">
      <c r="A529" s="12">
        <v>527</v>
      </c>
      <c r="B529" s="58" t="s">
        <v>1235</v>
      </c>
      <c r="C529" s="59"/>
      <c r="D529" s="63" t="s">
        <v>1239</v>
      </c>
      <c r="E529" s="59" t="s">
        <v>1240</v>
      </c>
      <c r="F529" s="15">
        <f t="shared" si="172"/>
        <v>0</v>
      </c>
      <c r="G529" s="15">
        <v>3</v>
      </c>
      <c r="H529" s="15"/>
      <c r="I529" s="15">
        <v>0</v>
      </c>
      <c r="J529" s="15">
        <v>0</v>
      </c>
      <c r="K529" s="15">
        <f t="shared" si="174"/>
        <v>0</v>
      </c>
      <c r="L529" s="15">
        <v>0</v>
      </c>
      <c r="M529" s="15">
        <f t="shared" si="175"/>
        <v>0</v>
      </c>
      <c r="N529" s="15"/>
      <c r="O529" s="15">
        <f t="shared" si="176"/>
        <v>0</v>
      </c>
      <c r="P529" s="15">
        <v>2</v>
      </c>
      <c r="Q529" s="15">
        <f t="shared" si="169"/>
        <v>0</v>
      </c>
      <c r="R529" s="15">
        <v>0</v>
      </c>
      <c r="S529" s="15">
        <f t="shared" si="177"/>
        <v>0</v>
      </c>
      <c r="T529" s="15">
        <v>1</v>
      </c>
      <c r="U529" s="15">
        <f t="shared" si="178"/>
        <v>0</v>
      </c>
      <c r="V529" s="15">
        <f t="shared" si="171"/>
        <v>0</v>
      </c>
      <c r="W529" s="17"/>
      <c r="X529" s="17"/>
      <c r="Y529" s="18">
        <v>0.02</v>
      </c>
      <c r="Z529" s="21"/>
      <c r="AA529" s="21">
        <v>1</v>
      </c>
      <c r="AB529" s="21"/>
      <c r="AC529" s="21"/>
      <c r="AD529" s="21"/>
      <c r="AE529" s="93"/>
      <c r="AF529" s="20">
        <f>SUMIF('[1]G-Chart'!G:G,[1]Capacity!D529,'[1]G-Chart'!L:L)</f>
        <v>1121</v>
      </c>
      <c r="AG529" s="17">
        <f t="shared" si="159"/>
        <v>0</v>
      </c>
      <c r="AH529" s="17">
        <f t="shared" si="160"/>
        <v>0</v>
      </c>
      <c r="AI529" s="15">
        <v>0</v>
      </c>
      <c r="AJ529" s="21">
        <f t="shared" si="165"/>
        <v>2242</v>
      </c>
      <c r="AK529" s="21">
        <f t="shared" si="161"/>
        <v>0</v>
      </c>
      <c r="AL529" s="21">
        <f t="shared" si="162"/>
        <v>1121</v>
      </c>
      <c r="AM529" s="21">
        <f t="shared" si="163"/>
        <v>3363</v>
      </c>
      <c r="AN529" s="28"/>
      <c r="AO529" s="15"/>
      <c r="AP529" s="92"/>
      <c r="AQ529" s="15"/>
      <c r="AR529" s="28"/>
    </row>
    <row r="530" spans="1:44" x14ac:dyDescent="0.3">
      <c r="A530" s="12">
        <v>528</v>
      </c>
      <c r="B530" s="58" t="s">
        <v>1235</v>
      </c>
      <c r="C530" s="59"/>
      <c r="D530" s="59" t="s">
        <v>1241</v>
      </c>
      <c r="E530" s="59" t="s">
        <v>1242</v>
      </c>
      <c r="F530" s="15">
        <f t="shared" si="172"/>
        <v>560</v>
      </c>
      <c r="G530" s="15">
        <v>3</v>
      </c>
      <c r="H530" s="15"/>
      <c r="I530" s="15">
        <v>0</v>
      </c>
      <c r="J530" s="15">
        <v>1</v>
      </c>
      <c r="K530" s="15">
        <f t="shared" si="174"/>
        <v>560</v>
      </c>
      <c r="L530" s="15">
        <v>2</v>
      </c>
      <c r="M530" s="15">
        <f t="shared" si="175"/>
        <v>1120</v>
      </c>
      <c r="N530" s="15"/>
      <c r="O530" s="15">
        <f t="shared" si="176"/>
        <v>0</v>
      </c>
      <c r="P530" s="15">
        <v>0</v>
      </c>
      <c r="Q530" s="15">
        <f t="shared" si="169"/>
        <v>0</v>
      </c>
      <c r="R530" s="15">
        <v>0</v>
      </c>
      <c r="S530" s="15">
        <f t="shared" si="177"/>
        <v>0</v>
      </c>
      <c r="T530" s="15">
        <v>0</v>
      </c>
      <c r="U530" s="15">
        <f t="shared" si="178"/>
        <v>0</v>
      </c>
      <c r="V530" s="15">
        <f t="shared" si="171"/>
        <v>1680</v>
      </c>
      <c r="W530" s="17"/>
      <c r="X530" s="17"/>
      <c r="Y530" s="18">
        <v>0.67</v>
      </c>
      <c r="Z530" s="21"/>
      <c r="AA530" s="21">
        <v>2</v>
      </c>
      <c r="AB530" s="21">
        <f>AA530*$AD$528</f>
        <v>560</v>
      </c>
      <c r="AC530" s="21"/>
      <c r="AD530" s="21"/>
      <c r="AE530" s="19"/>
      <c r="AF530" s="20">
        <f>SUMIF('[1]G-Chart'!G:G,[1]Capacity!D530,'[1]G-Chart'!L:L)</f>
        <v>964</v>
      </c>
      <c r="AG530" s="17">
        <f t="shared" si="159"/>
        <v>964</v>
      </c>
      <c r="AH530" s="17">
        <f t="shared" si="160"/>
        <v>1928</v>
      </c>
      <c r="AI530" s="15">
        <v>0</v>
      </c>
      <c r="AJ530" s="21">
        <f t="shared" si="165"/>
        <v>0</v>
      </c>
      <c r="AK530" s="21">
        <f t="shared" si="161"/>
        <v>0</v>
      </c>
      <c r="AL530" s="21">
        <f t="shared" si="162"/>
        <v>0</v>
      </c>
      <c r="AM530" s="21">
        <f t="shared" si="163"/>
        <v>2892</v>
      </c>
      <c r="AN530" s="28">
        <f>AM530*AC530</f>
        <v>0</v>
      </c>
      <c r="AO530" s="15">
        <v>0</v>
      </c>
      <c r="AP530" s="92">
        <f>AO530*AC530</f>
        <v>0</v>
      </c>
      <c r="AQ530" s="15">
        <v>0</v>
      </c>
      <c r="AR530" s="28">
        <f>AQ530*AC530</f>
        <v>0</v>
      </c>
    </row>
    <row r="531" spans="1:44" x14ac:dyDescent="0.3">
      <c r="A531" s="12">
        <v>529</v>
      </c>
      <c r="B531" s="58" t="s">
        <v>1235</v>
      </c>
      <c r="C531" s="59"/>
      <c r="D531" s="59" t="s">
        <v>1243</v>
      </c>
      <c r="E531" s="59" t="s">
        <v>1244</v>
      </c>
      <c r="F531" s="15">
        <f t="shared" si="172"/>
        <v>8436</v>
      </c>
      <c r="G531" s="15">
        <v>3</v>
      </c>
      <c r="H531" s="15"/>
      <c r="I531" s="15">
        <v>0</v>
      </c>
      <c r="J531" s="15">
        <v>0</v>
      </c>
      <c r="K531" s="15">
        <f t="shared" si="174"/>
        <v>0</v>
      </c>
      <c r="L531" s="15">
        <v>0</v>
      </c>
      <c r="M531" s="15">
        <f t="shared" si="175"/>
        <v>0</v>
      </c>
      <c r="N531" s="15"/>
      <c r="O531" s="15">
        <f t="shared" si="176"/>
        <v>0</v>
      </c>
      <c r="P531" s="15">
        <v>0</v>
      </c>
      <c r="Q531" s="15">
        <f t="shared" si="169"/>
        <v>0</v>
      </c>
      <c r="R531" s="15">
        <v>2</v>
      </c>
      <c r="S531" s="15">
        <f t="shared" si="177"/>
        <v>16872</v>
      </c>
      <c r="T531" s="15">
        <v>1</v>
      </c>
      <c r="U531" s="15">
        <f t="shared" si="178"/>
        <v>8436</v>
      </c>
      <c r="V531" s="15">
        <f t="shared" si="171"/>
        <v>25308</v>
      </c>
      <c r="W531" s="17"/>
      <c r="X531" s="17"/>
      <c r="Y531" s="18">
        <v>3.3000000000000002E-2</v>
      </c>
      <c r="Z531" s="21"/>
      <c r="AA531" s="21">
        <v>2</v>
      </c>
      <c r="AB531" s="21">
        <f>AD531*AA531</f>
        <v>8436</v>
      </c>
      <c r="AC531" s="21"/>
      <c r="AD531" s="31">
        <f>1500+2718</f>
        <v>4218</v>
      </c>
      <c r="AE531" s="51" t="s">
        <v>1245</v>
      </c>
      <c r="AF531" s="20">
        <f>SUMIF('[1]G-Chart'!G:G,[1]Capacity!D531,'[1]G-Chart'!L:L)</f>
        <v>6622</v>
      </c>
      <c r="AG531" s="17">
        <f t="shared" si="159"/>
        <v>0</v>
      </c>
      <c r="AH531" s="17">
        <f t="shared" si="160"/>
        <v>0</v>
      </c>
      <c r="AI531" s="15">
        <v>0</v>
      </c>
      <c r="AJ531" s="21">
        <f t="shared" si="165"/>
        <v>0</v>
      </c>
      <c r="AK531" s="21">
        <f t="shared" si="161"/>
        <v>13244</v>
      </c>
      <c r="AL531" s="21">
        <f t="shared" si="162"/>
        <v>6622</v>
      </c>
      <c r="AM531" s="21">
        <f t="shared" si="163"/>
        <v>19866</v>
      </c>
      <c r="AN531" s="28">
        <f>AM531*AC531</f>
        <v>0</v>
      </c>
      <c r="AO531" s="15">
        <v>2</v>
      </c>
      <c r="AP531" s="92">
        <f>AO531*AC531</f>
        <v>0</v>
      </c>
      <c r="AQ531" s="15">
        <v>1</v>
      </c>
      <c r="AR531" s="28">
        <f>AQ531*AC531</f>
        <v>0</v>
      </c>
    </row>
    <row r="532" spans="1:44" x14ac:dyDescent="0.3">
      <c r="A532" s="12">
        <v>530</v>
      </c>
      <c r="B532" s="58" t="s">
        <v>1235</v>
      </c>
      <c r="C532" s="59"/>
      <c r="D532" s="63" t="s">
        <v>1246</v>
      </c>
      <c r="E532" s="59" t="s">
        <v>1247</v>
      </c>
      <c r="F532" s="15">
        <f t="shared" si="172"/>
        <v>0</v>
      </c>
      <c r="G532" s="15">
        <v>3</v>
      </c>
      <c r="H532" s="15"/>
      <c r="I532" s="15">
        <v>0</v>
      </c>
      <c r="J532" s="15">
        <v>1</v>
      </c>
      <c r="K532" s="15">
        <f t="shared" si="174"/>
        <v>0</v>
      </c>
      <c r="L532" s="15">
        <v>2</v>
      </c>
      <c r="M532" s="15">
        <f t="shared" si="175"/>
        <v>0</v>
      </c>
      <c r="N532" s="15"/>
      <c r="O532" s="15">
        <f t="shared" si="176"/>
        <v>0</v>
      </c>
      <c r="P532" s="15">
        <v>0</v>
      </c>
      <c r="Q532" s="15">
        <f t="shared" si="169"/>
        <v>0</v>
      </c>
      <c r="R532" s="15">
        <v>0</v>
      </c>
      <c r="S532" s="15">
        <f t="shared" si="177"/>
        <v>0</v>
      </c>
      <c r="T532" s="15">
        <v>0</v>
      </c>
      <c r="U532" s="15">
        <f t="shared" si="178"/>
        <v>0</v>
      </c>
      <c r="V532" s="15">
        <f t="shared" si="171"/>
        <v>0</v>
      </c>
      <c r="W532" s="17"/>
      <c r="X532" s="17"/>
      <c r="Y532" s="18">
        <v>0.03</v>
      </c>
      <c r="Z532" s="21"/>
      <c r="AA532" s="21">
        <v>1</v>
      </c>
      <c r="AB532" s="21"/>
      <c r="AC532" s="21"/>
      <c r="AD532" s="21"/>
      <c r="AE532" s="93"/>
      <c r="AF532" s="20">
        <f>SUMIF('[1]G-Chart'!G:G,[1]Capacity!D532,'[1]G-Chart'!L:L)</f>
        <v>0</v>
      </c>
      <c r="AG532" s="17">
        <f t="shared" si="159"/>
        <v>0</v>
      </c>
      <c r="AH532" s="17">
        <f t="shared" si="160"/>
        <v>0</v>
      </c>
      <c r="AI532" s="15">
        <v>0</v>
      </c>
      <c r="AJ532" s="21">
        <f t="shared" si="165"/>
        <v>0</v>
      </c>
      <c r="AK532" s="21">
        <f t="shared" si="161"/>
        <v>0</v>
      </c>
      <c r="AL532" s="21">
        <f t="shared" si="162"/>
        <v>0</v>
      </c>
      <c r="AM532" s="21">
        <f t="shared" si="163"/>
        <v>0</v>
      </c>
      <c r="AN532" s="28">
        <f>AM532*AC532</f>
        <v>0</v>
      </c>
      <c r="AO532" s="15">
        <v>0</v>
      </c>
      <c r="AP532" s="92">
        <f>AO532*AC532</f>
        <v>0</v>
      </c>
      <c r="AQ532" s="15">
        <v>0</v>
      </c>
      <c r="AR532" s="28">
        <f>AQ532*AC532</f>
        <v>0</v>
      </c>
    </row>
    <row r="533" spans="1:44" x14ac:dyDescent="0.3">
      <c r="A533" s="94"/>
      <c r="B533" s="95" t="s">
        <v>1248</v>
      </c>
      <c r="C533" s="96"/>
      <c r="D533" s="96"/>
      <c r="E533" s="97" t="s">
        <v>985</v>
      </c>
      <c r="F533" s="16"/>
      <c r="G533" s="16"/>
      <c r="H533" s="16"/>
      <c r="I533" s="16"/>
      <c r="J533" s="16"/>
      <c r="K533" s="29">
        <f t="shared" si="174"/>
        <v>0</v>
      </c>
      <c r="L533" s="16"/>
      <c r="M533" s="29">
        <f t="shared" si="175"/>
        <v>0</v>
      </c>
      <c r="N533" s="16"/>
      <c r="O533" s="29">
        <f t="shared" si="176"/>
        <v>0</v>
      </c>
      <c r="P533" s="16">
        <v>0</v>
      </c>
      <c r="Q533" s="29">
        <f t="shared" si="169"/>
        <v>0</v>
      </c>
      <c r="R533" s="16"/>
      <c r="S533" s="29">
        <f t="shared" si="177"/>
        <v>0</v>
      </c>
      <c r="T533" s="16"/>
      <c r="U533" s="29">
        <f t="shared" si="178"/>
        <v>0</v>
      </c>
      <c r="V533" s="16">
        <f t="shared" si="148"/>
        <v>0</v>
      </c>
      <c r="W533" s="98"/>
      <c r="X533" s="98"/>
      <c r="Y533" s="18"/>
      <c r="Z533" s="18"/>
      <c r="AA533" s="18"/>
      <c r="AB533" s="18"/>
      <c r="AC533" s="18"/>
      <c r="AD533" s="18"/>
      <c r="AE533" s="99"/>
      <c r="AF533" s="20">
        <f>SUMIF('[1]G-Chart'!G:G,[1]Capacity!D533,'[1]G-Chart'!L:L)</f>
        <v>0</v>
      </c>
      <c r="AG533" s="98">
        <f t="shared" si="159"/>
        <v>0</v>
      </c>
      <c r="AH533" s="98">
        <f t="shared" si="160"/>
        <v>0</v>
      </c>
      <c r="AI533" s="15">
        <v>0</v>
      </c>
      <c r="AJ533" s="18">
        <f t="shared" si="165"/>
        <v>0</v>
      </c>
      <c r="AK533" s="18">
        <f t="shared" si="161"/>
        <v>0</v>
      </c>
      <c r="AL533" s="18">
        <f t="shared" si="162"/>
        <v>0</v>
      </c>
      <c r="AM533" s="18">
        <f t="shared" si="163"/>
        <v>0</v>
      </c>
    </row>
    <row r="534" spans="1:44" x14ac:dyDescent="0.3">
      <c r="A534" s="94"/>
      <c r="B534" s="95" t="s">
        <v>1248</v>
      </c>
      <c r="C534" s="96"/>
      <c r="D534" s="96"/>
      <c r="E534" s="48"/>
      <c r="F534" s="15"/>
      <c r="G534" s="15"/>
      <c r="H534" s="15"/>
      <c r="I534" s="15">
        <v>0</v>
      </c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>
        <f t="shared" si="148"/>
        <v>0</v>
      </c>
      <c r="Y534" s="76"/>
      <c r="AF534" s="100">
        <f>SUM(AF3:AF533)</f>
        <v>-419579</v>
      </c>
      <c r="AG534" s="101">
        <f>SUM(AG3:AG533)+AG595</f>
        <v>121008.5</v>
      </c>
      <c r="AH534" s="101">
        <f>SUM(AH3:AH533)+AH595</f>
        <v>119027</v>
      </c>
      <c r="AI534" s="101">
        <f>SUM(AI3:AI533)+AI595</f>
        <v>131725.5</v>
      </c>
      <c r="AJ534" s="102">
        <f>SUM(AJ3:AJ533)+AJ595</f>
        <v>312822</v>
      </c>
      <c r="AK534" s="102">
        <f>SUM(AK3:AK533)+AK595</f>
        <v>165929</v>
      </c>
      <c r="AL534" s="102">
        <f>SUM(AL3:AL533)</f>
        <v>161581</v>
      </c>
      <c r="AM534" s="103">
        <f>AL534+AK534+AJ534+AI534+AH534+AG534</f>
        <v>1012093</v>
      </c>
    </row>
    <row r="535" spans="1:44" x14ac:dyDescent="0.3">
      <c r="A535" s="94"/>
      <c r="B535" s="95" t="s">
        <v>1248</v>
      </c>
      <c r="E535" s="1" t="s">
        <v>1249</v>
      </c>
      <c r="F535" s="104">
        <f>SUM(F3:F416)</f>
        <v>442624</v>
      </c>
      <c r="I535" s="105">
        <f>SUM(I3:I534)</f>
        <v>440000</v>
      </c>
      <c r="K535" s="105">
        <f>SUM(K3:K534)</f>
        <v>441976</v>
      </c>
      <c r="M535" s="105">
        <f>SUM(M3:M534)</f>
        <v>491203</v>
      </c>
      <c r="O535" s="105">
        <f>SUM(O3:O534)</f>
        <v>540888</v>
      </c>
      <c r="Q535" s="105">
        <f>SUM(Q3:Q534)</f>
        <v>877875</v>
      </c>
      <c r="S535" s="105">
        <f>SUM(S3:S534)</f>
        <v>611879</v>
      </c>
      <c r="U535" s="105">
        <f>SUM(U3:U534)</f>
        <v>483061</v>
      </c>
      <c r="V535" s="104">
        <f>SUM(K535:U535)</f>
        <v>3446882</v>
      </c>
      <c r="W535" s="106">
        <f>V535/F535</f>
        <v>7.7873816150954305</v>
      </c>
      <c r="X535" s="107"/>
      <c r="AF535" s="100"/>
    </row>
    <row r="536" spans="1:44" x14ac:dyDescent="0.3">
      <c r="A536" s="94"/>
      <c r="B536" s="95" t="s">
        <v>1248</v>
      </c>
      <c r="E536" s="1" t="s">
        <v>18</v>
      </c>
      <c r="I536" s="2">
        <f>I535/25</f>
        <v>17600</v>
      </c>
      <c r="K536" s="2">
        <f>K535/27</f>
        <v>16369.481481481482</v>
      </c>
      <c r="M536" s="2">
        <f>M535/27</f>
        <v>18192.703703703704</v>
      </c>
      <c r="O536" s="2">
        <f>O535/27</f>
        <v>20032.888888888891</v>
      </c>
      <c r="Q536" s="2">
        <f>Q535/27</f>
        <v>32513.888888888891</v>
      </c>
      <c r="S536" s="2">
        <f>S535/27</f>
        <v>22662.185185185186</v>
      </c>
      <c r="U536" s="2">
        <f>U535/27</f>
        <v>17891.14814814815</v>
      </c>
      <c r="AF536" s="100"/>
    </row>
    <row r="537" spans="1:44" x14ac:dyDescent="0.3">
      <c r="A537" s="94"/>
      <c r="B537" s="95" t="s">
        <v>1248</v>
      </c>
      <c r="E537" s="1" t="s">
        <v>1250</v>
      </c>
      <c r="I537" s="2">
        <f>6*60*7.66</f>
        <v>2757.6</v>
      </c>
      <c r="K537" s="2">
        <f>6*60*7.66</f>
        <v>2757.6</v>
      </c>
      <c r="M537" s="2">
        <f>6*60*7.66</f>
        <v>2757.6</v>
      </c>
      <c r="O537" s="2">
        <f>6*60*7.66</f>
        <v>2757.6</v>
      </c>
      <c r="Q537" s="2">
        <f>6*60*7.66</f>
        <v>2757.6</v>
      </c>
      <c r="S537" s="2">
        <f>6*60*7.66</f>
        <v>2757.6</v>
      </c>
      <c r="U537" s="2">
        <f>6*60*7.66</f>
        <v>2757.6</v>
      </c>
      <c r="AF537" s="100"/>
      <c r="AM537" s="102"/>
    </row>
    <row r="538" spans="1:44" x14ac:dyDescent="0.3">
      <c r="A538" s="94"/>
      <c r="B538" s="95" t="s">
        <v>1248</v>
      </c>
      <c r="E538" s="1" t="s">
        <v>1251</v>
      </c>
      <c r="I538" s="2">
        <f>I535/I537</f>
        <v>159.55903684363216</v>
      </c>
      <c r="K538" s="2">
        <f>K535/K537</f>
        <v>160.2756019727299</v>
      </c>
      <c r="M538" s="2">
        <f>M535/M537</f>
        <v>178.12699448796056</v>
      </c>
      <c r="O538" s="2">
        <f>O535/O537</f>
        <v>196.14447345517843</v>
      </c>
      <c r="Q538" s="2">
        <f>Q535/Q537</f>
        <v>318.34747606614451</v>
      </c>
      <c r="S538" s="2">
        <f>S535/S537</f>
        <v>221.88823614737453</v>
      </c>
      <c r="U538" s="2">
        <f>U535/U537</f>
        <v>175.17442703800407</v>
      </c>
      <c r="AF538" s="100"/>
    </row>
    <row r="539" spans="1:44" x14ac:dyDescent="0.3">
      <c r="A539" s="94"/>
      <c r="B539" s="95" t="s">
        <v>1248</v>
      </c>
      <c r="E539" s="1" t="s">
        <v>1252</v>
      </c>
      <c r="I539" s="108">
        <f>I538/25</f>
        <v>6.3823614737452861</v>
      </c>
      <c r="K539" s="108">
        <f>K538/25</f>
        <v>6.4110240789091959</v>
      </c>
      <c r="M539" s="108">
        <f>M538/25</f>
        <v>7.1250797795184226</v>
      </c>
      <c r="O539" s="108">
        <f>O538/25</f>
        <v>7.845778938207137</v>
      </c>
      <c r="Q539" s="108">
        <f>Q538/25</f>
        <v>12.733899042645781</v>
      </c>
      <c r="S539" s="108">
        <f>S538/25</f>
        <v>8.8755294458949816</v>
      </c>
      <c r="U539" s="108">
        <f>U538/25</f>
        <v>7.0069770815201631</v>
      </c>
      <c r="AF539" s="100"/>
    </row>
    <row r="540" spans="1:44" x14ac:dyDescent="0.3">
      <c r="B540" s="95" t="s">
        <v>1248</v>
      </c>
      <c r="E540" s="1" t="s">
        <v>1253</v>
      </c>
      <c r="F540" s="2">
        <v>3</v>
      </c>
      <c r="K540" s="2">
        <f>K537*$F$540</f>
        <v>8272.7999999999993</v>
      </c>
      <c r="M540" s="2">
        <f>M537*$F$540</f>
        <v>8272.7999999999993</v>
      </c>
      <c r="O540" s="2">
        <f>O537*$F$540</f>
        <v>8272.7999999999993</v>
      </c>
      <c r="Q540" s="2">
        <f>Q537*$F$540</f>
        <v>8272.7999999999993</v>
      </c>
      <c r="S540" s="2">
        <f>S537*$F$540</f>
        <v>8272.7999999999993</v>
      </c>
      <c r="U540" s="2">
        <f>U537*$F$540</f>
        <v>8272.7999999999993</v>
      </c>
      <c r="AF540" s="100"/>
    </row>
    <row r="541" spans="1:44" x14ac:dyDescent="0.3">
      <c r="B541" s="95" t="s">
        <v>1248</v>
      </c>
      <c r="E541" s="1" t="s">
        <v>1254</v>
      </c>
      <c r="F541" s="2">
        <v>25</v>
      </c>
      <c r="K541" s="101">
        <f>K540*$F$541</f>
        <v>206819.99999999997</v>
      </c>
      <c r="M541" s="2">
        <f>M540*$F$541</f>
        <v>206819.99999999997</v>
      </c>
      <c r="O541" s="2">
        <f>O540*$F$541</f>
        <v>206819.99999999997</v>
      </c>
      <c r="Q541" s="2">
        <f>Q540*$F$541</f>
        <v>206819.99999999997</v>
      </c>
      <c r="S541" s="2">
        <f>S540*$F$541</f>
        <v>206819.99999999997</v>
      </c>
      <c r="U541" s="2">
        <f>U540*$F$541</f>
        <v>206819.99999999997</v>
      </c>
      <c r="AF541" s="100"/>
    </row>
    <row r="542" spans="1:44" x14ac:dyDescent="0.3">
      <c r="B542" s="95" t="s">
        <v>1248</v>
      </c>
      <c r="K542" s="101">
        <f>K541-K535</f>
        <v>-235156.00000000003</v>
      </c>
      <c r="M542" s="101">
        <f>M541-M535</f>
        <v>-284383</v>
      </c>
      <c r="O542" s="101">
        <f>O541-O535</f>
        <v>-334068</v>
      </c>
      <c r="Q542" s="101">
        <f>Q541-Q535</f>
        <v>-671055</v>
      </c>
      <c r="S542" s="101">
        <f>S541-S535</f>
        <v>-405059</v>
      </c>
      <c r="U542" s="101">
        <f>U541-U535</f>
        <v>-276241</v>
      </c>
      <c r="AF542" s="100"/>
    </row>
    <row r="543" spans="1:44" x14ac:dyDescent="0.3">
      <c r="B543" s="95" t="s">
        <v>1248</v>
      </c>
    </row>
    <row r="544" spans="1:44" x14ac:dyDescent="0.3">
      <c r="B544" s="95" t="s">
        <v>1248</v>
      </c>
    </row>
    <row r="545" spans="1:39" x14ac:dyDescent="0.3">
      <c r="B545" s="95" t="s">
        <v>1248</v>
      </c>
    </row>
    <row r="546" spans="1:39" x14ac:dyDescent="0.3">
      <c r="B546" s="95" t="s">
        <v>1248</v>
      </c>
      <c r="E546" s="109">
        <v>46023</v>
      </c>
      <c r="F546" s="110" t="s">
        <v>8</v>
      </c>
      <c r="G546" s="110" t="s">
        <v>9</v>
      </c>
      <c r="H546" s="110" t="s">
        <v>10</v>
      </c>
      <c r="I546" s="110" t="s">
        <v>11</v>
      </c>
      <c r="J546" s="110" t="s">
        <v>12</v>
      </c>
      <c r="K546" s="110" t="s">
        <v>13</v>
      </c>
      <c r="L546" s="110" t="s">
        <v>1255</v>
      </c>
      <c r="N546" s="111"/>
      <c r="P546" s="111"/>
      <c r="R546" s="111"/>
      <c r="T546" s="111"/>
    </row>
    <row r="547" spans="1:39" x14ac:dyDescent="0.3">
      <c r="B547" s="95" t="s">
        <v>1248</v>
      </c>
      <c r="E547" s="21" t="s">
        <v>1256</v>
      </c>
      <c r="F547" s="17">
        <f>K535</f>
        <v>441976</v>
      </c>
      <c r="G547" s="17">
        <f>M535</f>
        <v>491203</v>
      </c>
      <c r="H547" s="17">
        <f>O535</f>
        <v>540888</v>
      </c>
      <c r="I547" s="17">
        <f>Q535</f>
        <v>877875</v>
      </c>
      <c r="J547" s="17">
        <f>S535</f>
        <v>611879</v>
      </c>
      <c r="K547" s="17">
        <f>U535</f>
        <v>483061</v>
      </c>
      <c r="L547" s="112">
        <f>K547+J547+I547+H547+G547+F547</f>
        <v>3446882</v>
      </c>
      <c r="M547" s="2">
        <f>L547/27</f>
        <v>127662.29629629629</v>
      </c>
    </row>
    <row r="548" spans="1:39" x14ac:dyDescent="0.3">
      <c r="B548" s="95" t="s">
        <v>1248</v>
      </c>
      <c r="E548" s="21" t="s">
        <v>1257</v>
      </c>
      <c r="F548" s="17">
        <f>K595</f>
        <v>28008</v>
      </c>
      <c r="G548" s="17">
        <f>M595</f>
        <v>30342</v>
      </c>
      <c r="H548" s="17">
        <f>O595</f>
        <v>30342</v>
      </c>
      <c r="I548" s="17">
        <f>Q595</f>
        <v>31194</v>
      </c>
      <c r="J548" s="17">
        <f>S595</f>
        <v>7002</v>
      </c>
      <c r="K548" s="17">
        <f>U595</f>
        <v>0</v>
      </c>
      <c r="L548" s="112">
        <f>K548+J548+I548+H548+G548+F548</f>
        <v>126888</v>
      </c>
      <c r="M548" s="101">
        <f>L548/25</f>
        <v>5075.5200000000004</v>
      </c>
    </row>
    <row r="549" spans="1:39" x14ac:dyDescent="0.3">
      <c r="B549" s="95" t="s">
        <v>1248</v>
      </c>
      <c r="E549" s="21" t="s">
        <v>1258</v>
      </c>
      <c r="F549" s="113">
        <f t="shared" ref="F549:K549" si="183">AG534</f>
        <v>121008.5</v>
      </c>
      <c r="G549" s="113">
        <f t="shared" si="183"/>
        <v>119027</v>
      </c>
      <c r="H549" s="113">
        <f t="shared" si="183"/>
        <v>131725.5</v>
      </c>
      <c r="I549" s="113">
        <f t="shared" si="183"/>
        <v>312822</v>
      </c>
      <c r="J549" s="113">
        <f t="shared" si="183"/>
        <v>165929</v>
      </c>
      <c r="K549" s="113">
        <f t="shared" si="183"/>
        <v>161581</v>
      </c>
      <c r="L549" s="10">
        <f>K549+J549+I549+H549+G549+F549</f>
        <v>1012093</v>
      </c>
    </row>
    <row r="550" spans="1:39" x14ac:dyDescent="0.3">
      <c r="B550" s="95" t="s">
        <v>1248</v>
      </c>
      <c r="E550" s="21" t="s">
        <v>1259</v>
      </c>
      <c r="F550" s="17"/>
      <c r="G550" s="17">
        <f>I1</f>
        <v>478406</v>
      </c>
      <c r="H550" s="17"/>
      <c r="I550" s="17"/>
      <c r="J550" s="17"/>
      <c r="K550" s="17"/>
      <c r="L550" s="17"/>
    </row>
    <row r="551" spans="1:39" x14ac:dyDescent="0.3">
      <c r="B551" s="95" t="s">
        <v>1248</v>
      </c>
    </row>
    <row r="552" spans="1:39" x14ac:dyDescent="0.3">
      <c r="B552" s="95" t="s">
        <v>1248</v>
      </c>
    </row>
    <row r="553" spans="1:39" x14ac:dyDescent="0.3">
      <c r="A553" s="58">
        <v>1</v>
      </c>
      <c r="B553" s="58" t="s">
        <v>1257</v>
      </c>
      <c r="C553" s="59" t="s">
        <v>1260</v>
      </c>
      <c r="D553" s="59" t="s">
        <v>1260</v>
      </c>
      <c r="E553" s="59" t="s">
        <v>1261</v>
      </c>
      <c r="F553" s="114">
        <f>AB553</f>
        <v>2334</v>
      </c>
      <c r="G553" s="115">
        <f>H553+J553+L553+N553+P553+R553+T553</f>
        <v>5</v>
      </c>
      <c r="H553" s="17">
        <v>1</v>
      </c>
      <c r="I553" s="17">
        <f>H553*F553</f>
        <v>2334</v>
      </c>
      <c r="J553" s="17"/>
      <c r="K553" s="28">
        <f t="shared" ref="K553:K594" si="184">F553*J553</f>
        <v>0</v>
      </c>
      <c r="L553" s="17">
        <v>2</v>
      </c>
      <c r="M553" s="28">
        <f t="shared" ref="M553:M594" si="185">L553*F553</f>
        <v>4668</v>
      </c>
      <c r="N553" s="17">
        <v>2</v>
      </c>
      <c r="O553" s="28">
        <f t="shared" ref="O553:O594" si="186">N553*F553</f>
        <v>4668</v>
      </c>
      <c r="P553" s="17"/>
      <c r="Q553" s="28">
        <f t="shared" ref="Q553:Q594" si="187">P553*F553</f>
        <v>0</v>
      </c>
      <c r="R553" s="17"/>
      <c r="S553" s="28">
        <f t="shared" ref="S553:S594" si="188">R553*F553</f>
        <v>0</v>
      </c>
      <c r="T553" s="17"/>
      <c r="U553" s="15">
        <f t="shared" ref="U553:U594" si="189">T553*F553</f>
        <v>0</v>
      </c>
      <c r="V553" s="28">
        <f t="shared" ref="V553:V594" si="190">F553*G553</f>
        <v>11670</v>
      </c>
      <c r="W553" s="17"/>
      <c r="X553" s="17"/>
      <c r="Y553" s="21">
        <v>0.157</v>
      </c>
      <c r="Z553" s="21"/>
      <c r="AA553" s="17">
        <v>1</v>
      </c>
      <c r="AB553" s="17">
        <f>SUMIF([1]Curvv!B:B,[1]Capacity!D553,[1]Curvv!E:E)</f>
        <v>2334</v>
      </c>
      <c r="AC553" s="83"/>
      <c r="AD553" s="31">
        <v>1980</v>
      </c>
      <c r="AE553" s="51" t="s">
        <v>1262</v>
      </c>
      <c r="AF553" s="20">
        <f>SUMIF('[1]G-Chart'!G:G,[1]Capacity!D553,'[1]G-Chart'!L:L)</f>
        <v>822</v>
      </c>
      <c r="AG553" s="17">
        <f t="shared" ref="AG553:AG593" si="191">AF553*J553</f>
        <v>0</v>
      </c>
      <c r="AH553" s="17">
        <f t="shared" ref="AH553:AH594" si="192">AF553*L553</f>
        <v>1644</v>
      </c>
      <c r="AI553" s="17">
        <f t="shared" ref="AI553:AI594" si="193">AF553*N553</f>
        <v>1644</v>
      </c>
      <c r="AJ553" s="17">
        <f t="shared" ref="AJ553:AJ594" si="194">AF553*P553</f>
        <v>0</v>
      </c>
      <c r="AK553" s="17">
        <f t="shared" ref="AK553:AK594" si="195">AF553*R553</f>
        <v>0</v>
      </c>
      <c r="AL553" s="17">
        <f t="shared" ref="AL553:AL594" si="196">AF553*T553</f>
        <v>0</v>
      </c>
      <c r="AM553" s="17">
        <f t="shared" ref="AM553:AM594" si="197">AF553*G553</f>
        <v>4110</v>
      </c>
    </row>
    <row r="554" spans="1:39" x14ac:dyDescent="0.3">
      <c r="A554" s="58">
        <v>2</v>
      </c>
      <c r="B554" s="58" t="s">
        <v>1257</v>
      </c>
      <c r="C554" s="59" t="s">
        <v>1263</v>
      </c>
      <c r="D554" s="59" t="s">
        <v>1263</v>
      </c>
      <c r="E554" s="59" t="s">
        <v>1264</v>
      </c>
      <c r="F554" s="114">
        <f t="shared" ref="F554:F593" si="198">AB554</f>
        <v>2334</v>
      </c>
      <c r="G554" s="115">
        <f t="shared" ref="G554:G594" si="199">H554+J554+L554+N554+P554+R554+T554</f>
        <v>5</v>
      </c>
      <c r="H554" s="17">
        <v>1</v>
      </c>
      <c r="I554" s="17">
        <f t="shared" ref="I554:I594" si="200">H554*F554</f>
        <v>2334</v>
      </c>
      <c r="J554" s="17"/>
      <c r="K554" s="28">
        <f t="shared" si="184"/>
        <v>0</v>
      </c>
      <c r="L554" s="17">
        <v>2</v>
      </c>
      <c r="M554" s="28">
        <f t="shared" si="185"/>
        <v>4668</v>
      </c>
      <c r="N554" s="17">
        <v>2</v>
      </c>
      <c r="O554" s="28">
        <f t="shared" si="186"/>
        <v>4668</v>
      </c>
      <c r="P554" s="17"/>
      <c r="Q554" s="28">
        <f t="shared" si="187"/>
        <v>0</v>
      </c>
      <c r="R554" s="17"/>
      <c r="S554" s="28">
        <f t="shared" si="188"/>
        <v>0</v>
      </c>
      <c r="T554" s="17"/>
      <c r="U554" s="15">
        <f t="shared" si="189"/>
        <v>0</v>
      </c>
      <c r="V554" s="28">
        <f t="shared" si="190"/>
        <v>11670</v>
      </c>
      <c r="W554" s="17"/>
      <c r="X554" s="17"/>
      <c r="Y554" s="18">
        <v>0.157</v>
      </c>
      <c r="Z554" s="21"/>
      <c r="AA554" s="17">
        <v>1</v>
      </c>
      <c r="AB554" s="17">
        <f>SUMIF([1]Curvv!B:B,[1]Capacity!D554,[1]Curvv!E:E)</f>
        <v>2334</v>
      </c>
      <c r="AC554" s="83"/>
      <c r="AD554" s="31">
        <v>1980</v>
      </c>
      <c r="AE554" s="51" t="s">
        <v>1265</v>
      </c>
      <c r="AF554" s="20">
        <f>SUMIF('[1]G-Chart'!G:G,[1]Capacity!D554,'[1]G-Chart'!L:L)</f>
        <v>2129</v>
      </c>
      <c r="AG554" s="17">
        <f t="shared" si="191"/>
        <v>0</v>
      </c>
      <c r="AH554" s="17">
        <f t="shared" si="192"/>
        <v>4258</v>
      </c>
      <c r="AI554" s="17">
        <f t="shared" si="193"/>
        <v>4258</v>
      </c>
      <c r="AJ554" s="17">
        <f t="shared" si="194"/>
        <v>0</v>
      </c>
      <c r="AK554" s="17">
        <f t="shared" si="195"/>
        <v>0</v>
      </c>
      <c r="AL554" s="17">
        <f t="shared" si="196"/>
        <v>0</v>
      </c>
      <c r="AM554" s="17">
        <f t="shared" si="197"/>
        <v>10645</v>
      </c>
    </row>
    <row r="555" spans="1:39" x14ac:dyDescent="0.3">
      <c r="A555" s="58">
        <v>3</v>
      </c>
      <c r="B555" s="58" t="s">
        <v>1257</v>
      </c>
      <c r="C555" s="59" t="s">
        <v>1266</v>
      </c>
      <c r="D555" s="63" t="s">
        <v>1266</v>
      </c>
      <c r="E555" s="59" t="s">
        <v>1267</v>
      </c>
      <c r="F555" s="114">
        <v>0</v>
      </c>
      <c r="G555" s="115">
        <f t="shared" si="199"/>
        <v>5</v>
      </c>
      <c r="H555" s="17"/>
      <c r="I555" s="17">
        <f t="shared" si="200"/>
        <v>0</v>
      </c>
      <c r="J555" s="17">
        <v>2</v>
      </c>
      <c r="K555" s="28">
        <f t="shared" si="184"/>
        <v>0</v>
      </c>
      <c r="L555" s="17">
        <v>2</v>
      </c>
      <c r="M555" s="28">
        <f t="shared" si="185"/>
        <v>0</v>
      </c>
      <c r="N555" s="17">
        <v>1</v>
      </c>
      <c r="O555" s="28">
        <f t="shared" si="186"/>
        <v>0</v>
      </c>
      <c r="P555" s="17"/>
      <c r="Q555" s="28">
        <f t="shared" si="187"/>
        <v>0</v>
      </c>
      <c r="R555" s="17"/>
      <c r="S555" s="28">
        <f t="shared" si="188"/>
        <v>0</v>
      </c>
      <c r="T555" s="17"/>
      <c r="U555" s="15">
        <f t="shared" si="189"/>
        <v>0</v>
      </c>
      <c r="V555" s="28">
        <f t="shared" si="190"/>
        <v>0</v>
      </c>
      <c r="W555" s="17"/>
      <c r="X555" s="17"/>
      <c r="Y555" s="18">
        <v>0.374</v>
      </c>
      <c r="Z555" s="21"/>
      <c r="AA555" s="17">
        <v>1</v>
      </c>
      <c r="AB555" s="17">
        <f>SUMIF([1]Curvv!B:B,[1]Capacity!D555,[1]Curvv!E:E)</f>
        <v>2334</v>
      </c>
      <c r="AC555" s="83"/>
      <c r="AD555" s="31">
        <v>354</v>
      </c>
      <c r="AE555" s="51" t="s">
        <v>1268</v>
      </c>
      <c r="AF555" s="20">
        <f>SUMIF('[1]G-Chart'!G:G,[1]Capacity!D555,'[1]G-Chart'!L:L)</f>
        <v>-2106</v>
      </c>
      <c r="AG555" s="17">
        <v>0</v>
      </c>
      <c r="AH555" s="17">
        <v>0</v>
      </c>
      <c r="AI555" s="17">
        <v>0</v>
      </c>
      <c r="AJ555" s="17">
        <f t="shared" si="194"/>
        <v>0</v>
      </c>
      <c r="AK555" s="17">
        <f t="shared" si="195"/>
        <v>0</v>
      </c>
      <c r="AL555" s="17">
        <f t="shared" si="196"/>
        <v>0</v>
      </c>
      <c r="AM555" s="17">
        <f t="shared" si="197"/>
        <v>-10530</v>
      </c>
    </row>
    <row r="556" spans="1:39" x14ac:dyDescent="0.3">
      <c r="A556" s="58">
        <v>4</v>
      </c>
      <c r="B556" s="58" t="s">
        <v>1257</v>
      </c>
      <c r="C556" s="59" t="s">
        <v>1269</v>
      </c>
      <c r="D556" s="63" t="s">
        <v>1269</v>
      </c>
      <c r="E556" s="59" t="s">
        <v>1270</v>
      </c>
      <c r="F556" s="114">
        <v>0</v>
      </c>
      <c r="G556" s="115">
        <f t="shared" si="199"/>
        <v>5</v>
      </c>
      <c r="H556" s="17">
        <v>1</v>
      </c>
      <c r="I556" s="17">
        <f t="shared" si="200"/>
        <v>0</v>
      </c>
      <c r="J556" s="17">
        <v>2</v>
      </c>
      <c r="K556" s="28">
        <f t="shared" si="184"/>
        <v>0</v>
      </c>
      <c r="L556" s="17">
        <v>1</v>
      </c>
      <c r="M556" s="28">
        <f t="shared" si="185"/>
        <v>0</v>
      </c>
      <c r="N556" s="17">
        <v>1</v>
      </c>
      <c r="O556" s="28">
        <f t="shared" si="186"/>
        <v>0</v>
      </c>
      <c r="P556" s="17"/>
      <c r="Q556" s="28">
        <f t="shared" si="187"/>
        <v>0</v>
      </c>
      <c r="R556" s="17"/>
      <c r="S556" s="28">
        <f t="shared" si="188"/>
        <v>0</v>
      </c>
      <c r="T556" s="17"/>
      <c r="U556" s="15">
        <f t="shared" si="189"/>
        <v>0</v>
      </c>
      <c r="V556" s="28">
        <f t="shared" si="190"/>
        <v>0</v>
      </c>
      <c r="W556" s="17"/>
      <c r="X556" s="17"/>
      <c r="Y556" s="18">
        <v>0.441</v>
      </c>
      <c r="Z556" s="21"/>
      <c r="AA556" s="17">
        <v>1</v>
      </c>
      <c r="AB556" s="17">
        <f>SUMIF([1]Curvv!B:B,[1]Capacity!D556,[1]Curvv!E:E)</f>
        <v>2334</v>
      </c>
      <c r="AC556" s="83"/>
      <c r="AD556" s="31">
        <v>354</v>
      </c>
      <c r="AE556" s="51" t="s">
        <v>1271</v>
      </c>
      <c r="AF556" s="20">
        <f>SUMIF('[1]G-Chart'!G:G,[1]Capacity!D556,'[1]G-Chart'!L:L)</f>
        <v>-3781</v>
      </c>
      <c r="AG556" s="17">
        <v>0</v>
      </c>
      <c r="AH556" s="17">
        <v>0</v>
      </c>
      <c r="AI556" s="17">
        <v>0</v>
      </c>
      <c r="AJ556" s="17">
        <f t="shared" si="194"/>
        <v>0</v>
      </c>
      <c r="AK556" s="17">
        <f t="shared" si="195"/>
        <v>0</v>
      </c>
      <c r="AL556" s="17">
        <f t="shared" si="196"/>
        <v>0</v>
      </c>
      <c r="AM556" s="17">
        <f t="shared" si="197"/>
        <v>-18905</v>
      </c>
    </row>
    <row r="557" spans="1:39" x14ac:dyDescent="0.3">
      <c r="A557" s="58">
        <v>5</v>
      </c>
      <c r="B557" s="58" t="s">
        <v>1257</v>
      </c>
      <c r="C557" s="59" t="s">
        <v>1272</v>
      </c>
      <c r="D557" s="63" t="s">
        <v>1272</v>
      </c>
      <c r="E557" s="59" t="s">
        <v>1273</v>
      </c>
      <c r="F557" s="114">
        <v>0</v>
      </c>
      <c r="G557" s="115">
        <f t="shared" si="199"/>
        <v>3.5</v>
      </c>
      <c r="H557" s="17"/>
      <c r="I557" s="17">
        <f t="shared" si="200"/>
        <v>0</v>
      </c>
      <c r="J557" s="17">
        <v>2.5</v>
      </c>
      <c r="K557" s="28">
        <f t="shared" si="184"/>
        <v>0</v>
      </c>
      <c r="L557" s="17">
        <v>1</v>
      </c>
      <c r="M557" s="28">
        <f t="shared" si="185"/>
        <v>0</v>
      </c>
      <c r="N557" s="17"/>
      <c r="O557" s="28">
        <f t="shared" si="186"/>
        <v>0</v>
      </c>
      <c r="P557" s="17"/>
      <c r="Q557" s="28">
        <f t="shared" si="187"/>
        <v>0</v>
      </c>
      <c r="R557" s="17"/>
      <c r="S557" s="28">
        <f t="shared" si="188"/>
        <v>0</v>
      </c>
      <c r="T557" s="17"/>
      <c r="U557" s="15">
        <f t="shared" si="189"/>
        <v>0</v>
      </c>
      <c r="V557" s="28">
        <f t="shared" si="190"/>
        <v>0</v>
      </c>
      <c r="W557" s="17"/>
      <c r="X557" s="17"/>
      <c r="Y557" s="18">
        <v>0.34300000000000003</v>
      </c>
      <c r="Z557" s="21"/>
      <c r="AA557" s="17">
        <v>1</v>
      </c>
      <c r="AB557" s="17">
        <f>SUMIF([1]Curvv!B:B,[1]Capacity!D557,[1]Curvv!E:E)</f>
        <v>2334</v>
      </c>
      <c r="AC557" s="21"/>
      <c r="AD557" s="31">
        <v>2334</v>
      </c>
      <c r="AE557" s="51" t="s">
        <v>1274</v>
      </c>
      <c r="AF557" s="20">
        <f>SUMIF('[1]G-Chart'!G:G,[1]Capacity!D557,'[1]G-Chart'!L:L)</f>
        <v>-4147</v>
      </c>
      <c r="AG557" s="17">
        <v>0</v>
      </c>
      <c r="AH557" s="17">
        <v>0</v>
      </c>
      <c r="AI557" s="17">
        <f t="shared" si="193"/>
        <v>0</v>
      </c>
      <c r="AJ557" s="17">
        <f t="shared" si="194"/>
        <v>0</v>
      </c>
      <c r="AK557" s="17">
        <f t="shared" si="195"/>
        <v>0</v>
      </c>
      <c r="AL557" s="17">
        <f t="shared" si="196"/>
        <v>0</v>
      </c>
      <c r="AM557" s="17">
        <f t="shared" si="197"/>
        <v>-14514.5</v>
      </c>
    </row>
    <row r="558" spans="1:39" x14ac:dyDescent="0.3">
      <c r="A558" s="58">
        <v>6</v>
      </c>
      <c r="B558" s="58" t="s">
        <v>1257</v>
      </c>
      <c r="C558" s="59" t="s">
        <v>1275</v>
      </c>
      <c r="D558" s="63" t="s">
        <v>1275</v>
      </c>
      <c r="E558" s="59" t="s">
        <v>1276</v>
      </c>
      <c r="F558" s="114">
        <v>0</v>
      </c>
      <c r="G558" s="115">
        <f t="shared" si="199"/>
        <v>3.5</v>
      </c>
      <c r="H558" s="17"/>
      <c r="I558" s="17">
        <f t="shared" si="200"/>
        <v>0</v>
      </c>
      <c r="J558" s="17">
        <v>2.5</v>
      </c>
      <c r="K558" s="28">
        <f t="shared" si="184"/>
        <v>0</v>
      </c>
      <c r="L558" s="17">
        <v>1</v>
      </c>
      <c r="M558" s="28">
        <f t="shared" si="185"/>
        <v>0</v>
      </c>
      <c r="N558" s="17"/>
      <c r="O558" s="28">
        <f t="shared" si="186"/>
        <v>0</v>
      </c>
      <c r="P558" s="17"/>
      <c r="Q558" s="28">
        <f t="shared" si="187"/>
        <v>0</v>
      </c>
      <c r="R558" s="17"/>
      <c r="S558" s="28">
        <f t="shared" si="188"/>
        <v>0</v>
      </c>
      <c r="T558" s="17"/>
      <c r="U558" s="15">
        <f t="shared" si="189"/>
        <v>0</v>
      </c>
      <c r="V558" s="28">
        <f t="shared" si="190"/>
        <v>0</v>
      </c>
      <c r="W558" s="17"/>
      <c r="X558" s="17"/>
      <c r="Y558" s="18">
        <v>0.34300000000000003</v>
      </c>
      <c r="Z558" s="21"/>
      <c r="AA558" s="17">
        <v>1</v>
      </c>
      <c r="AB558" s="17">
        <f>SUMIF([1]Curvv!B:B,[1]Capacity!D558,[1]Curvv!E:E)</f>
        <v>2334</v>
      </c>
      <c r="AC558" s="21"/>
      <c r="AD558" s="31">
        <v>2334</v>
      </c>
      <c r="AE558" s="51" t="s">
        <v>1277</v>
      </c>
      <c r="AF558" s="20">
        <f>SUMIF('[1]G-Chart'!G:G,[1]Capacity!D558,'[1]G-Chart'!L:L)</f>
        <v>-4087</v>
      </c>
      <c r="AG558" s="17">
        <v>0</v>
      </c>
      <c r="AH558" s="17">
        <v>0</v>
      </c>
      <c r="AI558" s="17">
        <f t="shared" si="193"/>
        <v>0</v>
      </c>
      <c r="AJ558" s="17">
        <f t="shared" si="194"/>
        <v>0</v>
      </c>
      <c r="AK558" s="17">
        <f t="shared" si="195"/>
        <v>0</v>
      </c>
      <c r="AL558" s="17">
        <f t="shared" si="196"/>
        <v>0</v>
      </c>
      <c r="AM558" s="17">
        <f t="shared" si="197"/>
        <v>-14304.5</v>
      </c>
    </row>
    <row r="559" spans="1:39" x14ac:dyDescent="0.3">
      <c r="A559" s="58">
        <v>7</v>
      </c>
      <c r="B559" s="58" t="s">
        <v>1257</v>
      </c>
      <c r="C559" s="59" t="s">
        <v>1278</v>
      </c>
      <c r="D559" s="63" t="s">
        <v>1278</v>
      </c>
      <c r="E559" s="59" t="s">
        <v>1279</v>
      </c>
      <c r="F559" s="114">
        <v>0</v>
      </c>
      <c r="G559" s="115">
        <f t="shared" si="199"/>
        <v>2.5</v>
      </c>
      <c r="H559" s="17">
        <v>1</v>
      </c>
      <c r="I559" s="17">
        <f t="shared" si="200"/>
        <v>0</v>
      </c>
      <c r="J559" s="17"/>
      <c r="K559" s="28">
        <f t="shared" si="184"/>
        <v>0</v>
      </c>
      <c r="L559" s="17"/>
      <c r="M559" s="28">
        <f t="shared" si="185"/>
        <v>0</v>
      </c>
      <c r="N559" s="17">
        <v>0.5</v>
      </c>
      <c r="O559" s="28">
        <f t="shared" si="186"/>
        <v>0</v>
      </c>
      <c r="P559" s="17">
        <v>1</v>
      </c>
      <c r="Q559" s="28">
        <f t="shared" si="187"/>
        <v>0</v>
      </c>
      <c r="R559" s="17"/>
      <c r="S559" s="28">
        <f t="shared" si="188"/>
        <v>0</v>
      </c>
      <c r="T559" s="17"/>
      <c r="U559" s="15">
        <f t="shared" si="189"/>
        <v>0</v>
      </c>
      <c r="V559" s="28">
        <f t="shared" si="190"/>
        <v>0</v>
      </c>
      <c r="W559" s="17"/>
      <c r="X559" s="17"/>
      <c r="Y559" s="18">
        <v>8.5999999999999993E-2</v>
      </c>
      <c r="Z559" s="21"/>
      <c r="AA559" s="17">
        <v>1</v>
      </c>
      <c r="AB559" s="17">
        <f>SUMIF([1]Curvv!B:B,[1]Capacity!D559,[1]Curvv!E:E)</f>
        <v>2334</v>
      </c>
      <c r="AC559" s="21"/>
      <c r="AD559" s="21"/>
      <c r="AE559" s="21"/>
      <c r="AF559" s="20">
        <f>SUMIF('[1]G-Chart'!G:G,[1]Capacity!D559,'[1]G-Chart'!L:L)</f>
        <v>-1013</v>
      </c>
      <c r="AG559" s="17">
        <f t="shared" si="191"/>
        <v>0</v>
      </c>
      <c r="AH559" s="17">
        <f t="shared" si="192"/>
        <v>0</v>
      </c>
      <c r="AI559" s="17">
        <v>0</v>
      </c>
      <c r="AJ559" s="17">
        <v>0</v>
      </c>
      <c r="AK559" s="17">
        <f t="shared" si="195"/>
        <v>0</v>
      </c>
      <c r="AL559" s="17">
        <f t="shared" si="196"/>
        <v>0</v>
      </c>
      <c r="AM559" s="17">
        <f t="shared" si="197"/>
        <v>-2532.5</v>
      </c>
    </row>
    <row r="560" spans="1:39" x14ac:dyDescent="0.3">
      <c r="A560" s="58">
        <v>8</v>
      </c>
      <c r="B560" s="58" t="s">
        <v>1257</v>
      </c>
      <c r="C560" s="59" t="s">
        <v>1280</v>
      </c>
      <c r="D560" s="63" t="s">
        <v>1280</v>
      </c>
      <c r="E560" s="59" t="s">
        <v>1281</v>
      </c>
      <c r="F560" s="114">
        <v>0</v>
      </c>
      <c r="G560" s="115">
        <f t="shared" si="199"/>
        <v>2.5</v>
      </c>
      <c r="H560" s="17">
        <v>1</v>
      </c>
      <c r="I560" s="17">
        <f t="shared" si="200"/>
        <v>0</v>
      </c>
      <c r="J560" s="17"/>
      <c r="K560" s="28">
        <f t="shared" si="184"/>
        <v>0</v>
      </c>
      <c r="L560" s="17"/>
      <c r="M560" s="28">
        <f t="shared" si="185"/>
        <v>0</v>
      </c>
      <c r="N560" s="17">
        <v>0.5</v>
      </c>
      <c r="O560" s="28">
        <f t="shared" si="186"/>
        <v>0</v>
      </c>
      <c r="P560" s="17">
        <v>1</v>
      </c>
      <c r="Q560" s="28">
        <f t="shared" si="187"/>
        <v>0</v>
      </c>
      <c r="R560" s="17"/>
      <c r="S560" s="28">
        <f t="shared" si="188"/>
        <v>0</v>
      </c>
      <c r="T560" s="17"/>
      <c r="U560" s="15">
        <f t="shared" si="189"/>
        <v>0</v>
      </c>
      <c r="V560" s="28">
        <f t="shared" si="190"/>
        <v>0</v>
      </c>
      <c r="W560" s="17"/>
      <c r="X560" s="17"/>
      <c r="Y560" s="18">
        <v>8.5999999999999993E-2</v>
      </c>
      <c r="Z560" s="21"/>
      <c r="AA560" s="17">
        <v>1</v>
      </c>
      <c r="AB560" s="17">
        <f>SUMIF([1]Curvv!B:B,[1]Capacity!D560,[1]Curvv!E:E)</f>
        <v>2334</v>
      </c>
      <c r="AC560" s="21"/>
      <c r="AD560" s="21"/>
      <c r="AE560" s="21"/>
      <c r="AF560" s="20">
        <f>SUMIF('[1]G-Chart'!G:G,[1]Capacity!D560,'[1]G-Chart'!L:L)</f>
        <v>-1130</v>
      </c>
      <c r="AG560" s="17">
        <f t="shared" si="191"/>
        <v>0</v>
      </c>
      <c r="AH560" s="17">
        <f t="shared" si="192"/>
        <v>0</v>
      </c>
      <c r="AI560" s="17">
        <v>0</v>
      </c>
      <c r="AJ560" s="17">
        <v>0</v>
      </c>
      <c r="AK560" s="17">
        <f t="shared" si="195"/>
        <v>0</v>
      </c>
      <c r="AL560" s="17">
        <f t="shared" si="196"/>
        <v>0</v>
      </c>
      <c r="AM560" s="17">
        <f t="shared" si="197"/>
        <v>-2825</v>
      </c>
    </row>
    <row r="561" spans="1:39" x14ac:dyDescent="0.3">
      <c r="A561" s="58">
        <v>9</v>
      </c>
      <c r="B561" s="58" t="s">
        <v>1257</v>
      </c>
      <c r="C561" s="59" t="s">
        <v>1282</v>
      </c>
      <c r="D561" s="63" t="s">
        <v>1282</v>
      </c>
      <c r="E561" s="59" t="s">
        <v>1276</v>
      </c>
      <c r="F561" s="114">
        <v>0</v>
      </c>
      <c r="G561" s="115">
        <f t="shared" si="199"/>
        <v>5</v>
      </c>
      <c r="H561" s="17"/>
      <c r="I561" s="17">
        <f t="shared" si="200"/>
        <v>0</v>
      </c>
      <c r="J561" s="17">
        <v>3</v>
      </c>
      <c r="K561" s="28">
        <f t="shared" si="184"/>
        <v>0</v>
      </c>
      <c r="L561" s="17">
        <v>2</v>
      </c>
      <c r="M561" s="28">
        <f t="shared" si="185"/>
        <v>0</v>
      </c>
      <c r="N561" s="17"/>
      <c r="O561" s="28">
        <f t="shared" si="186"/>
        <v>0</v>
      </c>
      <c r="P561" s="17"/>
      <c r="Q561" s="28">
        <f t="shared" si="187"/>
        <v>0</v>
      </c>
      <c r="R561" s="17"/>
      <c r="S561" s="28">
        <f t="shared" si="188"/>
        <v>0</v>
      </c>
      <c r="T561" s="17"/>
      <c r="U561" s="15">
        <f t="shared" si="189"/>
        <v>0</v>
      </c>
      <c r="V561" s="28">
        <f t="shared" si="190"/>
        <v>0</v>
      </c>
      <c r="W561" s="17"/>
      <c r="X561" s="17"/>
      <c r="Y561" s="18">
        <v>0.442</v>
      </c>
      <c r="Z561" s="21"/>
      <c r="AA561" s="17">
        <v>1</v>
      </c>
      <c r="AB561" s="17">
        <f>SUMIF([1]Curvv!B:B,[1]Capacity!D561,[1]Curvv!E:E)</f>
        <v>2334</v>
      </c>
      <c r="AC561" s="21"/>
      <c r="AD561" s="21"/>
      <c r="AE561" s="21"/>
      <c r="AF561" s="20">
        <f>SUMIF('[1]G-Chart'!G:G,[1]Capacity!D561,'[1]G-Chart'!L:L)</f>
        <v>-2421</v>
      </c>
      <c r="AG561" s="17">
        <v>0</v>
      </c>
      <c r="AH561" s="17">
        <v>0</v>
      </c>
      <c r="AI561" s="17">
        <f t="shared" si="193"/>
        <v>0</v>
      </c>
      <c r="AJ561" s="17">
        <f t="shared" si="194"/>
        <v>0</v>
      </c>
      <c r="AK561" s="17">
        <f t="shared" si="195"/>
        <v>0</v>
      </c>
      <c r="AL561" s="17">
        <f t="shared" si="196"/>
        <v>0</v>
      </c>
      <c r="AM561" s="17">
        <f t="shared" si="197"/>
        <v>-12105</v>
      </c>
    </row>
    <row r="562" spans="1:39" x14ac:dyDescent="0.3">
      <c r="A562" s="58">
        <v>10</v>
      </c>
      <c r="B562" s="58" t="s">
        <v>1257</v>
      </c>
      <c r="C562" s="59" t="s">
        <v>1283</v>
      </c>
      <c r="D562" s="63" t="s">
        <v>1283</v>
      </c>
      <c r="E562" s="59" t="s">
        <v>1276</v>
      </c>
      <c r="F562" s="114">
        <v>0</v>
      </c>
      <c r="G562" s="115">
        <f t="shared" si="199"/>
        <v>6</v>
      </c>
      <c r="H562" s="17"/>
      <c r="I562" s="17">
        <f t="shared" si="200"/>
        <v>0</v>
      </c>
      <c r="J562" s="17">
        <v>3</v>
      </c>
      <c r="K562" s="28">
        <f t="shared" si="184"/>
        <v>0</v>
      </c>
      <c r="L562" s="17">
        <v>2</v>
      </c>
      <c r="M562" s="28">
        <f t="shared" si="185"/>
        <v>0</v>
      </c>
      <c r="N562" s="17">
        <v>1</v>
      </c>
      <c r="O562" s="28">
        <f t="shared" si="186"/>
        <v>0</v>
      </c>
      <c r="P562" s="17"/>
      <c r="Q562" s="28">
        <f t="shared" si="187"/>
        <v>0</v>
      </c>
      <c r="R562" s="17"/>
      <c r="S562" s="28">
        <f t="shared" si="188"/>
        <v>0</v>
      </c>
      <c r="T562" s="17"/>
      <c r="U562" s="15">
        <f t="shared" si="189"/>
        <v>0</v>
      </c>
      <c r="V562" s="28">
        <f t="shared" si="190"/>
        <v>0</v>
      </c>
      <c r="W562" s="17"/>
      <c r="X562" s="17"/>
      <c r="Y562" s="18">
        <v>0.621</v>
      </c>
      <c r="Z562" s="21"/>
      <c r="AA562" s="17">
        <v>1</v>
      </c>
      <c r="AB562" s="17">
        <f>SUMIF([1]Curvv!B:B,[1]Capacity!D562,[1]Curvv!E:E)</f>
        <v>2334</v>
      </c>
      <c r="AC562" s="21"/>
      <c r="AD562" s="21"/>
      <c r="AE562" s="21"/>
      <c r="AF562" s="20">
        <f>SUMIF('[1]G-Chart'!G:G,[1]Capacity!D562,'[1]G-Chart'!L:L)</f>
        <v>-4087</v>
      </c>
      <c r="AG562" s="17">
        <v>0</v>
      </c>
      <c r="AH562" s="17">
        <v>0</v>
      </c>
      <c r="AI562" s="17">
        <v>0</v>
      </c>
      <c r="AJ562" s="17">
        <f t="shared" si="194"/>
        <v>0</v>
      </c>
      <c r="AK562" s="17">
        <f t="shared" si="195"/>
        <v>0</v>
      </c>
      <c r="AL562" s="17">
        <f t="shared" si="196"/>
        <v>0</v>
      </c>
      <c r="AM562" s="17">
        <f t="shared" si="197"/>
        <v>-24522</v>
      </c>
    </row>
    <row r="563" spans="1:39" x14ac:dyDescent="0.3">
      <c r="A563" s="58">
        <v>11</v>
      </c>
      <c r="B563" s="58" t="s">
        <v>1257</v>
      </c>
      <c r="C563" s="59" t="s">
        <v>1284</v>
      </c>
      <c r="D563" s="59" t="s">
        <v>1284</v>
      </c>
      <c r="E563" s="59" t="s">
        <v>1285</v>
      </c>
      <c r="F563" s="114">
        <f t="shared" si="198"/>
        <v>2334</v>
      </c>
      <c r="G563" s="115">
        <f t="shared" si="199"/>
        <v>3</v>
      </c>
      <c r="H563" s="17">
        <v>1</v>
      </c>
      <c r="I563" s="17">
        <f t="shared" si="200"/>
        <v>2334</v>
      </c>
      <c r="J563" s="17"/>
      <c r="K563" s="28">
        <f t="shared" si="184"/>
        <v>0</v>
      </c>
      <c r="L563" s="17"/>
      <c r="M563" s="28">
        <f t="shared" si="185"/>
        <v>0</v>
      </c>
      <c r="N563" s="17"/>
      <c r="O563" s="28">
        <f t="shared" si="186"/>
        <v>0</v>
      </c>
      <c r="P563" s="17">
        <v>2</v>
      </c>
      <c r="Q563" s="28">
        <f t="shared" si="187"/>
        <v>4668</v>
      </c>
      <c r="R563" s="17"/>
      <c r="S563" s="28">
        <f t="shared" si="188"/>
        <v>0</v>
      </c>
      <c r="T563" s="17"/>
      <c r="U563" s="15">
        <f t="shared" si="189"/>
        <v>0</v>
      </c>
      <c r="V563" s="28">
        <f t="shared" si="190"/>
        <v>7002</v>
      </c>
      <c r="W563" s="17"/>
      <c r="X563" s="17"/>
      <c r="Y563" s="18">
        <v>7.3999999999999996E-2</v>
      </c>
      <c r="Z563" s="21"/>
      <c r="AA563" s="17">
        <v>1</v>
      </c>
      <c r="AB563" s="17">
        <f>SUMIF([1]Curvv!B:B,[1]Capacity!D563,[1]Curvv!E:E)</f>
        <v>2334</v>
      </c>
      <c r="AC563" s="21"/>
      <c r="AD563" s="21"/>
      <c r="AE563" s="21"/>
      <c r="AF563" s="20">
        <f>SUMIF('[1]G-Chart'!G:G,[1]Capacity!D563,'[1]G-Chart'!L:L)</f>
        <v>4197</v>
      </c>
      <c r="AG563" s="17">
        <f t="shared" si="191"/>
        <v>0</v>
      </c>
      <c r="AH563" s="17">
        <f t="shared" si="192"/>
        <v>0</v>
      </c>
      <c r="AI563" s="17">
        <f t="shared" si="193"/>
        <v>0</v>
      </c>
      <c r="AJ563" s="17">
        <f t="shared" si="194"/>
        <v>8394</v>
      </c>
      <c r="AK563" s="17">
        <f t="shared" si="195"/>
        <v>0</v>
      </c>
      <c r="AL563" s="17">
        <f t="shared" si="196"/>
        <v>0</v>
      </c>
      <c r="AM563" s="17">
        <f t="shared" si="197"/>
        <v>12591</v>
      </c>
    </row>
    <row r="564" spans="1:39" x14ac:dyDescent="0.3">
      <c r="A564" s="58">
        <v>12</v>
      </c>
      <c r="B564" s="58" t="s">
        <v>1257</v>
      </c>
      <c r="C564" s="59" t="s">
        <v>1286</v>
      </c>
      <c r="D564" s="59" t="s">
        <v>1286</v>
      </c>
      <c r="E564" s="59" t="s">
        <v>1287</v>
      </c>
      <c r="F564" s="114">
        <f t="shared" si="198"/>
        <v>2334</v>
      </c>
      <c r="G564" s="115">
        <f t="shared" si="199"/>
        <v>3</v>
      </c>
      <c r="H564" s="17">
        <v>1</v>
      </c>
      <c r="I564" s="17">
        <f t="shared" si="200"/>
        <v>2334</v>
      </c>
      <c r="J564" s="17"/>
      <c r="K564" s="28">
        <f t="shared" si="184"/>
        <v>0</v>
      </c>
      <c r="L564" s="17"/>
      <c r="M564" s="28">
        <f t="shared" si="185"/>
        <v>0</v>
      </c>
      <c r="N564" s="17"/>
      <c r="O564" s="28">
        <f t="shared" si="186"/>
        <v>0</v>
      </c>
      <c r="P564" s="17">
        <v>2</v>
      </c>
      <c r="Q564" s="28">
        <f t="shared" si="187"/>
        <v>4668</v>
      </c>
      <c r="R564" s="17"/>
      <c r="S564" s="28">
        <f t="shared" si="188"/>
        <v>0</v>
      </c>
      <c r="T564" s="17"/>
      <c r="U564" s="15">
        <f t="shared" si="189"/>
        <v>0</v>
      </c>
      <c r="V564" s="28">
        <f t="shared" si="190"/>
        <v>7002</v>
      </c>
      <c r="W564" s="17"/>
      <c r="X564" s="17"/>
      <c r="Y564" s="18">
        <v>7.3999999999999996E-2</v>
      </c>
      <c r="Z564" s="21"/>
      <c r="AA564" s="17">
        <v>1</v>
      </c>
      <c r="AB564" s="17">
        <f>SUMIF([1]Curvv!B:B,[1]Capacity!D564,[1]Curvv!E:E)</f>
        <v>2334</v>
      </c>
      <c r="AC564" s="21"/>
      <c r="AD564" s="21"/>
      <c r="AE564" s="21"/>
      <c r="AF564" s="20">
        <f>SUMIF('[1]G-Chart'!G:G,[1]Capacity!D564,'[1]G-Chart'!L:L)</f>
        <v>3317</v>
      </c>
      <c r="AG564" s="17">
        <f t="shared" si="191"/>
        <v>0</v>
      </c>
      <c r="AH564" s="17">
        <f t="shared" si="192"/>
        <v>0</v>
      </c>
      <c r="AI564" s="17">
        <f t="shared" si="193"/>
        <v>0</v>
      </c>
      <c r="AJ564" s="17">
        <f t="shared" si="194"/>
        <v>6634</v>
      </c>
      <c r="AK564" s="17">
        <f t="shared" si="195"/>
        <v>0</v>
      </c>
      <c r="AL564" s="17">
        <f t="shared" si="196"/>
        <v>0</v>
      </c>
      <c r="AM564" s="17">
        <f t="shared" si="197"/>
        <v>9951</v>
      </c>
    </row>
    <row r="565" spans="1:39" x14ac:dyDescent="0.3">
      <c r="A565" s="58">
        <v>13</v>
      </c>
      <c r="B565" s="58" t="s">
        <v>1257</v>
      </c>
      <c r="C565" s="59" t="s">
        <v>1288</v>
      </c>
      <c r="D565" s="59" t="s">
        <v>1288</v>
      </c>
      <c r="E565" s="59" t="s">
        <v>1289</v>
      </c>
      <c r="F565" s="114">
        <f t="shared" si="198"/>
        <v>2334</v>
      </c>
      <c r="G565" s="115">
        <f t="shared" si="199"/>
        <v>3</v>
      </c>
      <c r="H565" s="17"/>
      <c r="I565" s="17">
        <f t="shared" si="200"/>
        <v>0</v>
      </c>
      <c r="J565" s="17">
        <v>2.5</v>
      </c>
      <c r="K565" s="28">
        <f t="shared" si="184"/>
        <v>5835</v>
      </c>
      <c r="L565" s="17">
        <v>0.5</v>
      </c>
      <c r="M565" s="28">
        <f t="shared" si="185"/>
        <v>1167</v>
      </c>
      <c r="N565" s="17"/>
      <c r="O565" s="28">
        <f t="shared" si="186"/>
        <v>0</v>
      </c>
      <c r="P565" s="17"/>
      <c r="Q565" s="28">
        <f t="shared" si="187"/>
        <v>0</v>
      </c>
      <c r="R565" s="17"/>
      <c r="S565" s="28">
        <f t="shared" si="188"/>
        <v>0</v>
      </c>
      <c r="T565" s="17"/>
      <c r="U565" s="15">
        <f t="shared" si="189"/>
        <v>0</v>
      </c>
      <c r="V565" s="28">
        <f t="shared" si="190"/>
        <v>7002</v>
      </c>
      <c r="W565" s="17"/>
      <c r="X565" s="17"/>
      <c r="Y565" s="18">
        <v>0.249</v>
      </c>
      <c r="Z565" s="21"/>
      <c r="AA565" s="17">
        <v>1</v>
      </c>
      <c r="AB565" s="17">
        <f>SUMIF([1]Curvv!B:B,[1]Capacity!D565,[1]Curvv!E:E)</f>
        <v>2334</v>
      </c>
      <c r="AC565" s="21"/>
      <c r="AD565" s="21"/>
      <c r="AE565" s="21"/>
      <c r="AF565" s="20">
        <f>SUMIF('[1]G-Chart'!G:G,[1]Capacity!D565,'[1]G-Chart'!L:L)</f>
        <v>1763</v>
      </c>
      <c r="AG565" s="17">
        <f t="shared" si="191"/>
        <v>4407.5</v>
      </c>
      <c r="AH565" s="17">
        <f t="shared" si="192"/>
        <v>881.5</v>
      </c>
      <c r="AI565" s="17">
        <f t="shared" si="193"/>
        <v>0</v>
      </c>
      <c r="AJ565" s="17">
        <f t="shared" si="194"/>
        <v>0</v>
      </c>
      <c r="AK565" s="17">
        <f t="shared" si="195"/>
        <v>0</v>
      </c>
      <c r="AL565" s="17">
        <f t="shared" si="196"/>
        <v>0</v>
      </c>
      <c r="AM565" s="17">
        <f t="shared" si="197"/>
        <v>5289</v>
      </c>
    </row>
    <row r="566" spans="1:39" x14ac:dyDescent="0.3">
      <c r="A566" s="58">
        <v>14</v>
      </c>
      <c r="B566" s="58" t="s">
        <v>1257</v>
      </c>
      <c r="C566" s="59" t="s">
        <v>1290</v>
      </c>
      <c r="D566" s="59" t="s">
        <v>1290</v>
      </c>
      <c r="E566" s="59" t="s">
        <v>1291</v>
      </c>
      <c r="F566" s="114">
        <f t="shared" si="198"/>
        <v>2334</v>
      </c>
      <c r="G566" s="115">
        <f t="shared" si="199"/>
        <v>3</v>
      </c>
      <c r="H566" s="17"/>
      <c r="I566" s="17">
        <f t="shared" si="200"/>
        <v>0</v>
      </c>
      <c r="J566" s="17">
        <v>2.5</v>
      </c>
      <c r="K566" s="28">
        <f t="shared" si="184"/>
        <v>5835</v>
      </c>
      <c r="L566" s="17">
        <v>0.5</v>
      </c>
      <c r="M566" s="28">
        <f t="shared" si="185"/>
        <v>1167</v>
      </c>
      <c r="N566" s="17"/>
      <c r="O566" s="28">
        <f t="shared" si="186"/>
        <v>0</v>
      </c>
      <c r="P566" s="17"/>
      <c r="Q566" s="28">
        <f t="shared" si="187"/>
        <v>0</v>
      </c>
      <c r="R566" s="17"/>
      <c r="S566" s="28">
        <f t="shared" si="188"/>
        <v>0</v>
      </c>
      <c r="T566" s="17"/>
      <c r="U566" s="15">
        <f t="shared" si="189"/>
        <v>0</v>
      </c>
      <c r="V566" s="28">
        <f t="shared" si="190"/>
        <v>7002</v>
      </c>
      <c r="W566" s="17"/>
      <c r="X566" s="17"/>
      <c r="Y566" s="18">
        <v>0.249</v>
      </c>
      <c r="Z566" s="21"/>
      <c r="AA566" s="17">
        <v>1</v>
      </c>
      <c r="AB566" s="17">
        <f>SUMIF([1]Curvv!B:B,[1]Capacity!D566,[1]Curvv!E:E)</f>
        <v>2334</v>
      </c>
      <c r="AC566" s="21"/>
      <c r="AD566" s="21"/>
      <c r="AE566" s="21"/>
      <c r="AF566" s="20">
        <f>SUMIF('[1]G-Chart'!G:G,[1]Capacity!D566,'[1]G-Chart'!L:L)</f>
        <v>1984</v>
      </c>
      <c r="AG566" s="17">
        <f t="shared" si="191"/>
        <v>4960</v>
      </c>
      <c r="AH566" s="17">
        <f t="shared" si="192"/>
        <v>992</v>
      </c>
      <c r="AI566" s="17">
        <f t="shared" si="193"/>
        <v>0</v>
      </c>
      <c r="AJ566" s="17">
        <f t="shared" si="194"/>
        <v>0</v>
      </c>
      <c r="AK566" s="17">
        <f t="shared" si="195"/>
        <v>0</v>
      </c>
      <c r="AL566" s="17">
        <f t="shared" si="196"/>
        <v>0</v>
      </c>
      <c r="AM566" s="17">
        <f t="shared" si="197"/>
        <v>5952</v>
      </c>
    </row>
    <row r="567" spans="1:39" x14ac:dyDescent="0.3">
      <c r="A567" s="58">
        <v>15</v>
      </c>
      <c r="B567" s="58" t="s">
        <v>1257</v>
      </c>
      <c r="C567" s="59" t="s">
        <v>1292</v>
      </c>
      <c r="D567" s="59" t="s">
        <v>1292</v>
      </c>
      <c r="E567" s="59" t="s">
        <v>1293</v>
      </c>
      <c r="F567" s="114">
        <f t="shared" si="198"/>
        <v>4668</v>
      </c>
      <c r="G567" s="115">
        <f t="shared" si="199"/>
        <v>2</v>
      </c>
      <c r="H567" s="17">
        <v>1</v>
      </c>
      <c r="I567" s="17">
        <f t="shared" si="200"/>
        <v>4668</v>
      </c>
      <c r="J567" s="17"/>
      <c r="K567" s="28">
        <f t="shared" si="184"/>
        <v>0</v>
      </c>
      <c r="L567" s="17"/>
      <c r="M567" s="28">
        <f t="shared" si="185"/>
        <v>0</v>
      </c>
      <c r="N567" s="17"/>
      <c r="O567" s="28">
        <f t="shared" si="186"/>
        <v>0</v>
      </c>
      <c r="P567" s="17"/>
      <c r="Q567" s="28">
        <f t="shared" si="187"/>
        <v>0</v>
      </c>
      <c r="R567" s="17">
        <v>1</v>
      </c>
      <c r="S567" s="28">
        <f t="shared" si="188"/>
        <v>4668</v>
      </c>
      <c r="T567" s="17"/>
      <c r="U567" s="15">
        <f t="shared" si="189"/>
        <v>0</v>
      </c>
      <c r="V567" s="28">
        <f t="shared" si="190"/>
        <v>9336</v>
      </c>
      <c r="W567" s="17"/>
      <c r="X567" s="17"/>
      <c r="Y567" s="18">
        <v>1.0999999999999999E-2</v>
      </c>
      <c r="Z567" s="21"/>
      <c r="AA567" s="17">
        <v>2</v>
      </c>
      <c r="AB567" s="17">
        <f>SUMIF([1]Curvv!B:B,[1]Capacity!D567,[1]Curvv!E:E)</f>
        <v>4668</v>
      </c>
      <c r="AC567" s="21"/>
      <c r="AD567" s="21"/>
      <c r="AE567" s="21"/>
      <c r="AF567" s="20">
        <f>SUMIF('[1]G-Chart'!G:G,[1]Capacity!D567,'[1]G-Chart'!L:L)</f>
        <v>5360</v>
      </c>
      <c r="AG567" s="17">
        <f t="shared" si="191"/>
        <v>0</v>
      </c>
      <c r="AH567" s="17">
        <f t="shared" si="192"/>
        <v>0</v>
      </c>
      <c r="AI567" s="17">
        <f t="shared" si="193"/>
        <v>0</v>
      </c>
      <c r="AJ567" s="17">
        <f t="shared" si="194"/>
        <v>0</v>
      </c>
      <c r="AK567" s="17">
        <f t="shared" si="195"/>
        <v>5360</v>
      </c>
      <c r="AL567" s="17">
        <f t="shared" si="196"/>
        <v>0</v>
      </c>
      <c r="AM567" s="17">
        <f t="shared" si="197"/>
        <v>10720</v>
      </c>
    </row>
    <row r="568" spans="1:39" x14ac:dyDescent="0.3">
      <c r="A568" s="58">
        <v>16</v>
      </c>
      <c r="B568" s="58" t="s">
        <v>1257</v>
      </c>
      <c r="C568" s="59" t="s">
        <v>1294</v>
      </c>
      <c r="D568" s="59" t="s">
        <v>1294</v>
      </c>
      <c r="E568" s="59" t="s">
        <v>1295</v>
      </c>
      <c r="F568" s="114">
        <f t="shared" si="198"/>
        <v>354</v>
      </c>
      <c r="G568" s="115">
        <f t="shared" si="199"/>
        <v>4</v>
      </c>
      <c r="H568" s="17">
        <v>1</v>
      </c>
      <c r="I568" s="17">
        <f t="shared" si="200"/>
        <v>354</v>
      </c>
      <c r="J568" s="17"/>
      <c r="K568" s="28">
        <f t="shared" si="184"/>
        <v>0</v>
      </c>
      <c r="L568" s="17"/>
      <c r="M568" s="28">
        <f t="shared" si="185"/>
        <v>0</v>
      </c>
      <c r="N568" s="17"/>
      <c r="O568" s="28">
        <f t="shared" si="186"/>
        <v>0</v>
      </c>
      <c r="P568" s="17">
        <v>3</v>
      </c>
      <c r="Q568" s="28">
        <f t="shared" si="187"/>
        <v>1062</v>
      </c>
      <c r="R568" s="17"/>
      <c r="S568" s="28">
        <f t="shared" si="188"/>
        <v>0</v>
      </c>
      <c r="T568" s="17"/>
      <c r="U568" s="15">
        <f t="shared" si="189"/>
        <v>0</v>
      </c>
      <c r="V568" s="28">
        <f t="shared" si="190"/>
        <v>1416</v>
      </c>
      <c r="W568" s="17"/>
      <c r="X568" s="17"/>
      <c r="Y568" s="18">
        <v>2.9000000000000001E-2</v>
      </c>
      <c r="Z568" s="21"/>
      <c r="AA568" s="17">
        <v>1</v>
      </c>
      <c r="AB568" s="17">
        <f>SUMIF([1]Curvv!B:B,[1]Capacity!D568,[1]Curvv!E:E)</f>
        <v>354</v>
      </c>
      <c r="AC568" s="21"/>
      <c r="AD568" s="21"/>
      <c r="AE568" s="21"/>
      <c r="AF568" s="20">
        <f>SUMIF('[1]G-Chart'!G:G,[1]Capacity!D568,'[1]G-Chart'!L:L)</f>
        <v>899</v>
      </c>
      <c r="AG568" s="17">
        <f t="shared" si="191"/>
        <v>0</v>
      </c>
      <c r="AH568" s="17">
        <f t="shared" si="192"/>
        <v>0</v>
      </c>
      <c r="AI568" s="17">
        <f t="shared" si="193"/>
        <v>0</v>
      </c>
      <c r="AJ568" s="17">
        <f t="shared" si="194"/>
        <v>2697</v>
      </c>
      <c r="AK568" s="17">
        <f t="shared" si="195"/>
        <v>0</v>
      </c>
      <c r="AL568" s="17">
        <f t="shared" si="196"/>
        <v>0</v>
      </c>
      <c r="AM568" s="17">
        <f t="shared" si="197"/>
        <v>3596</v>
      </c>
    </row>
    <row r="569" spans="1:39" x14ac:dyDescent="0.3">
      <c r="A569" s="58">
        <v>17</v>
      </c>
      <c r="B569" s="58" t="s">
        <v>1257</v>
      </c>
      <c r="C569" s="59" t="s">
        <v>1296</v>
      </c>
      <c r="D569" s="59" t="s">
        <v>1296</v>
      </c>
      <c r="E569" s="59" t="s">
        <v>1144</v>
      </c>
      <c r="F569" s="114">
        <f t="shared" si="198"/>
        <v>2334</v>
      </c>
      <c r="G569" s="115">
        <f t="shared" si="199"/>
        <v>5</v>
      </c>
      <c r="H569" s="17"/>
      <c r="I569" s="17">
        <f t="shared" si="200"/>
        <v>0</v>
      </c>
      <c r="J569" s="17"/>
      <c r="K569" s="28">
        <f t="shared" si="184"/>
        <v>0</v>
      </c>
      <c r="L569" s="17">
        <v>2</v>
      </c>
      <c r="M569" s="28">
        <f t="shared" si="185"/>
        <v>4668</v>
      </c>
      <c r="N569" s="17">
        <v>3</v>
      </c>
      <c r="O569" s="28">
        <f t="shared" si="186"/>
        <v>7002</v>
      </c>
      <c r="P569" s="17"/>
      <c r="Q569" s="28">
        <f t="shared" si="187"/>
        <v>0</v>
      </c>
      <c r="R569" s="17"/>
      <c r="S569" s="28">
        <f t="shared" si="188"/>
        <v>0</v>
      </c>
      <c r="T569" s="17"/>
      <c r="U569" s="15">
        <f t="shared" si="189"/>
        <v>0</v>
      </c>
      <c r="V569" s="28">
        <f t="shared" si="190"/>
        <v>11670</v>
      </c>
      <c r="W569" s="17"/>
      <c r="X569" s="17"/>
      <c r="Y569" s="18">
        <v>0.17100000000000001</v>
      </c>
      <c r="Z569" s="21"/>
      <c r="AA569" s="17">
        <v>1</v>
      </c>
      <c r="AB569" s="17">
        <f>SUMIF([1]Curvv!B:B,[1]Capacity!D569,[1]Curvv!E:E)</f>
        <v>2334</v>
      </c>
      <c r="AC569" s="21"/>
      <c r="AD569" s="21"/>
      <c r="AE569" s="21"/>
      <c r="AF569" s="20">
        <f>SUMIF('[1]G-Chart'!G:G,[1]Capacity!D569,'[1]G-Chart'!L:L)</f>
        <v>0</v>
      </c>
      <c r="AG569" s="17">
        <f t="shared" si="191"/>
        <v>0</v>
      </c>
      <c r="AH569" s="17">
        <f t="shared" si="192"/>
        <v>0</v>
      </c>
      <c r="AI569" s="17">
        <f t="shared" si="193"/>
        <v>0</v>
      </c>
      <c r="AJ569" s="17">
        <f t="shared" si="194"/>
        <v>0</v>
      </c>
      <c r="AK569" s="17">
        <f t="shared" si="195"/>
        <v>0</v>
      </c>
      <c r="AL569" s="17">
        <f t="shared" si="196"/>
        <v>0</v>
      </c>
      <c r="AM569" s="17">
        <f t="shared" si="197"/>
        <v>0</v>
      </c>
    </row>
    <row r="570" spans="1:39" x14ac:dyDescent="0.3">
      <c r="A570" s="58">
        <v>18</v>
      </c>
      <c r="B570" s="58" t="s">
        <v>1257</v>
      </c>
      <c r="C570" s="59" t="s">
        <v>1297</v>
      </c>
      <c r="D570" s="69" t="s">
        <v>1297</v>
      </c>
      <c r="E570" s="59" t="s">
        <v>1298</v>
      </c>
      <c r="F570" s="114">
        <v>0</v>
      </c>
      <c r="G570" s="115">
        <v>0</v>
      </c>
      <c r="H570" s="17"/>
      <c r="I570" s="17">
        <f t="shared" si="200"/>
        <v>0</v>
      </c>
      <c r="J570" s="17">
        <v>2</v>
      </c>
      <c r="K570" s="28">
        <f t="shared" si="184"/>
        <v>0</v>
      </c>
      <c r="L570" s="17">
        <v>3</v>
      </c>
      <c r="M570" s="28">
        <f t="shared" si="185"/>
        <v>0</v>
      </c>
      <c r="N570" s="17"/>
      <c r="O570" s="28">
        <f t="shared" si="186"/>
        <v>0</v>
      </c>
      <c r="P570" s="17"/>
      <c r="Q570" s="28">
        <f t="shared" si="187"/>
        <v>0</v>
      </c>
      <c r="R570" s="17"/>
      <c r="S570" s="28">
        <f t="shared" si="188"/>
        <v>0</v>
      </c>
      <c r="T570" s="17"/>
      <c r="U570" s="15">
        <f t="shared" si="189"/>
        <v>0</v>
      </c>
      <c r="V570" s="28">
        <f t="shared" si="190"/>
        <v>0</v>
      </c>
      <c r="W570" s="17"/>
      <c r="X570" s="17"/>
      <c r="Y570" s="18">
        <v>0.26400000000000001</v>
      </c>
      <c r="Z570" s="21"/>
      <c r="AA570" s="17">
        <v>1</v>
      </c>
      <c r="AB570" s="17">
        <f>SUMIF([1]Curvv!B:B,[1]Capacity!D570,[1]Curvv!E:E)</f>
        <v>2334</v>
      </c>
      <c r="AC570" s="21"/>
      <c r="AD570" s="21"/>
      <c r="AE570" s="21"/>
      <c r="AF570" s="20">
        <f>SUMIF('[1]G-Chart'!G:G,[1]Capacity!D570,'[1]G-Chart'!L:L)</f>
        <v>-1665</v>
      </c>
      <c r="AG570" s="17">
        <v>0</v>
      </c>
      <c r="AH570" s="17">
        <v>0</v>
      </c>
      <c r="AI570" s="17">
        <f t="shared" si="193"/>
        <v>0</v>
      </c>
      <c r="AJ570" s="17">
        <f t="shared" si="194"/>
        <v>0</v>
      </c>
      <c r="AK570" s="17">
        <f t="shared" si="195"/>
        <v>0</v>
      </c>
      <c r="AL570" s="17">
        <f t="shared" si="196"/>
        <v>0</v>
      </c>
      <c r="AM570" s="17">
        <f t="shared" si="197"/>
        <v>0</v>
      </c>
    </row>
    <row r="571" spans="1:39" x14ac:dyDescent="0.3">
      <c r="A571" s="58">
        <v>19</v>
      </c>
      <c r="B571" s="58" t="s">
        <v>1257</v>
      </c>
      <c r="C571" s="59" t="s">
        <v>1299</v>
      </c>
      <c r="D571" s="63" t="s">
        <v>1299</v>
      </c>
      <c r="E571" s="59" t="s">
        <v>1300</v>
      </c>
      <c r="F571" s="114">
        <v>0</v>
      </c>
      <c r="G571" s="115">
        <f t="shared" si="199"/>
        <v>5</v>
      </c>
      <c r="H571" s="17"/>
      <c r="I571" s="17">
        <f t="shared" si="200"/>
        <v>0</v>
      </c>
      <c r="J571" s="17">
        <v>2</v>
      </c>
      <c r="K571" s="28">
        <f t="shared" si="184"/>
        <v>0</v>
      </c>
      <c r="L571" s="17">
        <v>3</v>
      </c>
      <c r="M571" s="28">
        <f t="shared" si="185"/>
        <v>0</v>
      </c>
      <c r="N571" s="17"/>
      <c r="O571" s="28">
        <f t="shared" si="186"/>
        <v>0</v>
      </c>
      <c r="P571" s="17"/>
      <c r="Q571" s="28">
        <f t="shared" si="187"/>
        <v>0</v>
      </c>
      <c r="R571" s="17"/>
      <c r="S571" s="28">
        <f t="shared" si="188"/>
        <v>0</v>
      </c>
      <c r="T571" s="17"/>
      <c r="U571" s="15">
        <f t="shared" si="189"/>
        <v>0</v>
      </c>
      <c r="V571" s="28">
        <f t="shared" si="190"/>
        <v>0</v>
      </c>
      <c r="W571" s="17"/>
      <c r="X571" s="17"/>
      <c r="Y571" s="18">
        <v>0.22700000000000001</v>
      </c>
      <c r="Z571" s="21"/>
      <c r="AA571" s="17">
        <v>1</v>
      </c>
      <c r="AB571" s="17">
        <f>SUMIF([1]Curvv!B:B,[1]Capacity!D571,[1]Curvv!E:E)</f>
        <v>2334</v>
      </c>
      <c r="AC571" s="21"/>
      <c r="AD571" s="21"/>
      <c r="AE571" s="21"/>
      <c r="AF571" s="20">
        <f>SUMIF('[1]G-Chart'!G:G,[1]Capacity!D571,'[1]G-Chart'!L:L)</f>
        <v>-956</v>
      </c>
      <c r="AG571" s="17">
        <v>0</v>
      </c>
      <c r="AH571" s="17">
        <v>0</v>
      </c>
      <c r="AI571" s="17">
        <f t="shared" si="193"/>
        <v>0</v>
      </c>
      <c r="AJ571" s="17">
        <f t="shared" si="194"/>
        <v>0</v>
      </c>
      <c r="AK571" s="17">
        <f t="shared" si="195"/>
        <v>0</v>
      </c>
      <c r="AL571" s="17">
        <f t="shared" si="196"/>
        <v>0</v>
      </c>
      <c r="AM571" s="17">
        <f t="shared" si="197"/>
        <v>-4780</v>
      </c>
    </row>
    <row r="572" spans="1:39" x14ac:dyDescent="0.3">
      <c r="A572" s="58">
        <v>20</v>
      </c>
      <c r="B572" s="58" t="s">
        <v>1257</v>
      </c>
      <c r="C572" s="59" t="s">
        <v>1301</v>
      </c>
      <c r="D572" s="59" t="s">
        <v>1301</v>
      </c>
      <c r="E572" s="59" t="s">
        <v>1302</v>
      </c>
      <c r="F572" s="114">
        <f t="shared" si="198"/>
        <v>2334</v>
      </c>
      <c r="G572" s="115">
        <f t="shared" si="199"/>
        <v>2.5</v>
      </c>
      <c r="H572" s="116">
        <v>1</v>
      </c>
      <c r="I572" s="17">
        <f t="shared" si="200"/>
        <v>2334</v>
      </c>
      <c r="J572" s="17"/>
      <c r="K572" s="28">
        <f t="shared" si="184"/>
        <v>0</v>
      </c>
      <c r="L572" s="17"/>
      <c r="M572" s="28">
        <f t="shared" si="185"/>
        <v>0</v>
      </c>
      <c r="N572" s="17">
        <v>0.5</v>
      </c>
      <c r="O572" s="28">
        <f t="shared" si="186"/>
        <v>1167</v>
      </c>
      <c r="P572" s="17">
        <v>1</v>
      </c>
      <c r="Q572" s="28">
        <f t="shared" si="187"/>
        <v>2334</v>
      </c>
      <c r="R572" s="17"/>
      <c r="S572" s="28">
        <f t="shared" si="188"/>
        <v>0</v>
      </c>
      <c r="T572" s="17"/>
      <c r="U572" s="15">
        <f t="shared" si="189"/>
        <v>0</v>
      </c>
      <c r="V572" s="28">
        <f t="shared" si="190"/>
        <v>5835</v>
      </c>
      <c r="W572" s="17"/>
      <c r="X572" s="17"/>
      <c r="Y572" s="18">
        <v>8.5999999999999993E-2</v>
      </c>
      <c r="Z572" s="21"/>
      <c r="AA572" s="17">
        <v>1</v>
      </c>
      <c r="AB572" s="17">
        <f>SUMIF([1]Curvv!B:B,[1]Capacity!D572,[1]Curvv!E:E)</f>
        <v>2334</v>
      </c>
      <c r="AC572" s="21"/>
      <c r="AD572" s="21"/>
      <c r="AE572" s="21"/>
      <c r="AF572" s="20">
        <f>SUMIF('[1]G-Chart'!G:G,[1]Capacity!D572,'[1]G-Chart'!L:L)</f>
        <v>2841</v>
      </c>
      <c r="AG572" s="17">
        <f t="shared" si="191"/>
        <v>0</v>
      </c>
      <c r="AH572" s="17">
        <f t="shared" si="192"/>
        <v>0</v>
      </c>
      <c r="AI572" s="17">
        <f t="shared" si="193"/>
        <v>1420.5</v>
      </c>
      <c r="AJ572" s="17">
        <f t="shared" si="194"/>
        <v>2841</v>
      </c>
      <c r="AK572" s="17">
        <f t="shared" si="195"/>
        <v>0</v>
      </c>
      <c r="AL572" s="17">
        <f t="shared" si="196"/>
        <v>0</v>
      </c>
      <c r="AM572" s="17">
        <f t="shared" si="197"/>
        <v>7102.5</v>
      </c>
    </row>
    <row r="573" spans="1:39" x14ac:dyDescent="0.3">
      <c r="A573" s="58">
        <v>21</v>
      </c>
      <c r="B573" s="58" t="s">
        <v>1257</v>
      </c>
      <c r="C573" s="59" t="s">
        <v>1303</v>
      </c>
      <c r="D573" s="59" t="s">
        <v>1303</v>
      </c>
      <c r="E573" s="59" t="s">
        <v>1304</v>
      </c>
      <c r="F573" s="114">
        <f t="shared" si="198"/>
        <v>2334</v>
      </c>
      <c r="G573" s="115">
        <f t="shared" si="199"/>
        <v>2.5</v>
      </c>
      <c r="H573" s="116">
        <v>1</v>
      </c>
      <c r="I573" s="17">
        <f t="shared" si="200"/>
        <v>2334</v>
      </c>
      <c r="J573" s="17"/>
      <c r="K573" s="28">
        <f t="shared" si="184"/>
        <v>0</v>
      </c>
      <c r="L573" s="17"/>
      <c r="M573" s="28">
        <f t="shared" si="185"/>
        <v>0</v>
      </c>
      <c r="N573" s="17">
        <v>0.5</v>
      </c>
      <c r="O573" s="28">
        <f t="shared" si="186"/>
        <v>1167</v>
      </c>
      <c r="P573" s="17">
        <v>1</v>
      </c>
      <c r="Q573" s="28">
        <f t="shared" si="187"/>
        <v>2334</v>
      </c>
      <c r="R573" s="17"/>
      <c r="S573" s="28">
        <f t="shared" si="188"/>
        <v>0</v>
      </c>
      <c r="T573" s="17"/>
      <c r="U573" s="15">
        <f t="shared" si="189"/>
        <v>0</v>
      </c>
      <c r="V573" s="28">
        <f t="shared" si="190"/>
        <v>5835</v>
      </c>
      <c r="W573" s="17"/>
      <c r="X573" s="17"/>
      <c r="Y573" s="18">
        <v>8.5999999999999993E-2</v>
      </c>
      <c r="Z573" s="21"/>
      <c r="AA573" s="17">
        <v>1</v>
      </c>
      <c r="AB573" s="17">
        <f>SUMIF([1]Curvv!B:B,[1]Capacity!D573,[1]Curvv!E:E)</f>
        <v>2334</v>
      </c>
      <c r="AC573" s="21"/>
      <c r="AD573" s="21"/>
      <c r="AE573" s="21"/>
      <c r="AF573" s="20">
        <f>SUMIF('[1]G-Chart'!G:G,[1]Capacity!D573,'[1]G-Chart'!L:L)</f>
        <v>2451</v>
      </c>
      <c r="AG573" s="17">
        <f t="shared" si="191"/>
        <v>0</v>
      </c>
      <c r="AH573" s="17">
        <f t="shared" si="192"/>
        <v>0</v>
      </c>
      <c r="AI573" s="17">
        <f t="shared" si="193"/>
        <v>1225.5</v>
      </c>
      <c r="AJ573" s="17">
        <f t="shared" si="194"/>
        <v>2451</v>
      </c>
      <c r="AK573" s="17">
        <f t="shared" si="195"/>
        <v>0</v>
      </c>
      <c r="AL573" s="17">
        <f t="shared" si="196"/>
        <v>0</v>
      </c>
      <c r="AM573" s="17">
        <f t="shared" si="197"/>
        <v>6127.5</v>
      </c>
    </row>
    <row r="574" spans="1:39" x14ac:dyDescent="0.3">
      <c r="A574" s="58">
        <v>22</v>
      </c>
      <c r="B574" s="58" t="s">
        <v>1257</v>
      </c>
      <c r="C574" s="59" t="s">
        <v>1305</v>
      </c>
      <c r="D574" s="59" t="s">
        <v>1305</v>
      </c>
      <c r="E574" s="59" t="s">
        <v>1306</v>
      </c>
      <c r="F574" s="114">
        <f t="shared" si="198"/>
        <v>2334</v>
      </c>
      <c r="G574" s="115">
        <f t="shared" si="199"/>
        <v>3</v>
      </c>
      <c r="H574" s="116">
        <v>1</v>
      </c>
      <c r="I574" s="17">
        <f t="shared" si="200"/>
        <v>2334</v>
      </c>
      <c r="J574" s="17"/>
      <c r="K574" s="28">
        <f t="shared" si="184"/>
        <v>0</v>
      </c>
      <c r="L574" s="17"/>
      <c r="M574" s="28">
        <f t="shared" si="185"/>
        <v>0</v>
      </c>
      <c r="N574" s="17">
        <v>1</v>
      </c>
      <c r="O574" s="28">
        <f t="shared" si="186"/>
        <v>2334</v>
      </c>
      <c r="P574" s="17">
        <v>1</v>
      </c>
      <c r="Q574" s="28">
        <f t="shared" si="187"/>
        <v>2334</v>
      </c>
      <c r="R574" s="17"/>
      <c r="S574" s="28">
        <f t="shared" si="188"/>
        <v>0</v>
      </c>
      <c r="T574" s="17"/>
      <c r="U574" s="15">
        <f t="shared" si="189"/>
        <v>0</v>
      </c>
      <c r="V574" s="28">
        <f t="shared" si="190"/>
        <v>7002</v>
      </c>
      <c r="W574" s="17"/>
      <c r="X574" s="17"/>
      <c r="Y574" s="18">
        <v>7.3999999999999996E-2</v>
      </c>
      <c r="Z574" s="21"/>
      <c r="AA574" s="17">
        <v>1</v>
      </c>
      <c r="AB574" s="17">
        <f>SUMIF([1]Curvv!B:B,[1]Capacity!D574,[1]Curvv!E:E)</f>
        <v>2334</v>
      </c>
      <c r="AC574" s="21"/>
      <c r="AD574" s="21"/>
      <c r="AE574" s="21"/>
      <c r="AF574" s="20">
        <f>SUMIF('[1]G-Chart'!G:G,[1]Capacity!D574,'[1]G-Chart'!L:L)</f>
        <v>1500</v>
      </c>
      <c r="AG574" s="17">
        <f t="shared" si="191"/>
        <v>0</v>
      </c>
      <c r="AH574" s="17">
        <f t="shared" si="192"/>
        <v>0</v>
      </c>
      <c r="AI574" s="17">
        <f t="shared" si="193"/>
        <v>1500</v>
      </c>
      <c r="AJ574" s="17">
        <f t="shared" si="194"/>
        <v>1500</v>
      </c>
      <c r="AK574" s="17">
        <f t="shared" si="195"/>
        <v>0</v>
      </c>
      <c r="AL574" s="17">
        <f t="shared" si="196"/>
        <v>0</v>
      </c>
      <c r="AM574" s="17">
        <f t="shared" si="197"/>
        <v>4500</v>
      </c>
    </row>
    <row r="575" spans="1:39" x14ac:dyDescent="0.3">
      <c r="A575" s="58">
        <v>23</v>
      </c>
      <c r="B575" s="58" t="s">
        <v>1257</v>
      </c>
      <c r="C575" s="59" t="s">
        <v>1307</v>
      </c>
      <c r="D575" s="59" t="s">
        <v>1307</v>
      </c>
      <c r="E575" s="59" t="s">
        <v>1308</v>
      </c>
      <c r="F575" s="114">
        <f t="shared" si="198"/>
        <v>2334</v>
      </c>
      <c r="G575" s="115">
        <f t="shared" si="199"/>
        <v>3</v>
      </c>
      <c r="H575" s="116">
        <v>1</v>
      </c>
      <c r="I575" s="17">
        <f t="shared" si="200"/>
        <v>2334</v>
      </c>
      <c r="J575" s="17"/>
      <c r="K575" s="28">
        <f t="shared" si="184"/>
        <v>0</v>
      </c>
      <c r="L575" s="17"/>
      <c r="M575" s="28">
        <f t="shared" si="185"/>
        <v>0</v>
      </c>
      <c r="N575" s="17">
        <v>1</v>
      </c>
      <c r="O575" s="28">
        <f t="shared" si="186"/>
        <v>2334</v>
      </c>
      <c r="P575" s="17">
        <v>1</v>
      </c>
      <c r="Q575" s="28">
        <f t="shared" si="187"/>
        <v>2334</v>
      </c>
      <c r="R575" s="17"/>
      <c r="S575" s="28">
        <f t="shared" si="188"/>
        <v>0</v>
      </c>
      <c r="T575" s="17"/>
      <c r="U575" s="15">
        <f t="shared" si="189"/>
        <v>0</v>
      </c>
      <c r="V575" s="28">
        <f t="shared" si="190"/>
        <v>7002</v>
      </c>
      <c r="W575" s="17"/>
      <c r="X575" s="17"/>
      <c r="Y575" s="18">
        <v>7.3999999999999996E-2</v>
      </c>
      <c r="Z575" s="21"/>
      <c r="AA575" s="17">
        <v>1</v>
      </c>
      <c r="AB575" s="17">
        <f>SUMIF([1]Curvv!B:B,[1]Capacity!D575,[1]Curvv!E:E)</f>
        <v>2334</v>
      </c>
      <c r="AC575" s="21"/>
      <c r="AD575" s="21"/>
      <c r="AE575" s="21"/>
      <c r="AF575" s="20">
        <f>SUMIF('[1]G-Chart'!G:G,[1]Capacity!D575,'[1]G-Chart'!L:L)</f>
        <v>1500</v>
      </c>
      <c r="AG575" s="17">
        <f t="shared" si="191"/>
        <v>0</v>
      </c>
      <c r="AH575" s="17">
        <f t="shared" si="192"/>
        <v>0</v>
      </c>
      <c r="AI575" s="17">
        <f t="shared" si="193"/>
        <v>1500</v>
      </c>
      <c r="AJ575" s="17">
        <f t="shared" si="194"/>
        <v>1500</v>
      </c>
      <c r="AK575" s="17">
        <f t="shared" si="195"/>
        <v>0</v>
      </c>
      <c r="AL575" s="17">
        <f t="shared" si="196"/>
        <v>0</v>
      </c>
      <c r="AM575" s="17">
        <f t="shared" si="197"/>
        <v>4500</v>
      </c>
    </row>
    <row r="576" spans="1:39" x14ac:dyDescent="0.3">
      <c r="A576" s="58">
        <v>24</v>
      </c>
      <c r="B576" s="58" t="s">
        <v>1257</v>
      </c>
      <c r="C576" s="59" t="s">
        <v>1309</v>
      </c>
      <c r="D576" s="69" t="s">
        <v>1309</v>
      </c>
      <c r="E576" s="59" t="s">
        <v>1310</v>
      </c>
      <c r="F576" s="114">
        <f t="shared" si="198"/>
        <v>2334</v>
      </c>
      <c r="G576" s="115">
        <v>1</v>
      </c>
      <c r="H576" s="17">
        <v>1</v>
      </c>
      <c r="I576" s="17">
        <f t="shared" si="200"/>
        <v>2334</v>
      </c>
      <c r="J576" s="117">
        <f>3-3</f>
        <v>0</v>
      </c>
      <c r="K576" s="28">
        <f t="shared" si="184"/>
        <v>0</v>
      </c>
      <c r="L576" s="117"/>
      <c r="M576" s="28">
        <f t="shared" si="185"/>
        <v>0</v>
      </c>
      <c r="N576" s="17"/>
      <c r="O576" s="28">
        <f t="shared" si="186"/>
        <v>0</v>
      </c>
      <c r="P576" s="17"/>
      <c r="Q576" s="28">
        <f t="shared" si="187"/>
        <v>0</v>
      </c>
      <c r="R576" s="17"/>
      <c r="S576" s="28">
        <f t="shared" si="188"/>
        <v>0</v>
      </c>
      <c r="T576" s="17"/>
      <c r="U576" s="15">
        <f t="shared" si="189"/>
        <v>0</v>
      </c>
      <c r="V576" s="28">
        <f t="shared" si="190"/>
        <v>2334</v>
      </c>
      <c r="W576" s="17"/>
      <c r="X576" s="17"/>
      <c r="Y576" s="18">
        <v>0.35499999999999998</v>
      </c>
      <c r="Z576" s="21"/>
      <c r="AA576" s="17">
        <v>1</v>
      </c>
      <c r="AB576" s="17">
        <f>SUMIF([1]Curvv!B:B,[1]Capacity!D576,[1]Curvv!E:E)</f>
        <v>2334</v>
      </c>
      <c r="AC576" s="21"/>
      <c r="AD576" s="21"/>
      <c r="AE576" s="21"/>
      <c r="AF576" s="20">
        <f>SUMIF('[1]G-Chart'!G:G,[1]Capacity!D576,'[1]G-Chart'!L:L)</f>
        <v>2014</v>
      </c>
      <c r="AG576" s="17">
        <f t="shared" si="191"/>
        <v>0</v>
      </c>
      <c r="AH576" s="17">
        <f t="shared" si="192"/>
        <v>0</v>
      </c>
      <c r="AI576" s="17">
        <f t="shared" si="193"/>
        <v>0</v>
      </c>
      <c r="AJ576" s="17">
        <f t="shared" si="194"/>
        <v>0</v>
      </c>
      <c r="AK576" s="17">
        <f t="shared" si="195"/>
        <v>0</v>
      </c>
      <c r="AL576" s="17">
        <f t="shared" si="196"/>
        <v>0</v>
      </c>
      <c r="AM576" s="17">
        <f t="shared" si="197"/>
        <v>2014</v>
      </c>
    </row>
    <row r="577" spans="1:39" x14ac:dyDescent="0.3">
      <c r="A577" s="58">
        <v>25</v>
      </c>
      <c r="B577" s="58" t="s">
        <v>1257</v>
      </c>
      <c r="C577" s="59" t="s">
        <v>1311</v>
      </c>
      <c r="D577" s="69" t="s">
        <v>1311</v>
      </c>
      <c r="E577" s="59" t="s">
        <v>1310</v>
      </c>
      <c r="F577" s="114">
        <f t="shared" si="198"/>
        <v>2334</v>
      </c>
      <c r="G577" s="115">
        <v>1</v>
      </c>
      <c r="H577" s="17">
        <v>1</v>
      </c>
      <c r="I577" s="17">
        <f t="shared" si="200"/>
        <v>2334</v>
      </c>
      <c r="J577" s="117">
        <f>3-3</f>
        <v>0</v>
      </c>
      <c r="K577" s="28">
        <f t="shared" si="184"/>
        <v>0</v>
      </c>
      <c r="L577" s="117"/>
      <c r="M577" s="28">
        <f t="shared" si="185"/>
        <v>0</v>
      </c>
      <c r="N577" s="17"/>
      <c r="O577" s="28">
        <f t="shared" si="186"/>
        <v>0</v>
      </c>
      <c r="P577" s="17"/>
      <c r="Q577" s="28">
        <f t="shared" si="187"/>
        <v>0</v>
      </c>
      <c r="R577" s="17"/>
      <c r="S577" s="28">
        <f t="shared" si="188"/>
        <v>0</v>
      </c>
      <c r="T577" s="17"/>
      <c r="U577" s="15">
        <f t="shared" si="189"/>
        <v>0</v>
      </c>
      <c r="V577" s="28">
        <f t="shared" si="190"/>
        <v>2334</v>
      </c>
      <c r="W577" s="17"/>
      <c r="X577" s="17"/>
      <c r="Y577" s="18">
        <v>0.35399999999999998</v>
      </c>
      <c r="Z577" s="21"/>
      <c r="AA577" s="17">
        <v>1</v>
      </c>
      <c r="AB577" s="17">
        <f>SUMIF([1]Curvv!B:B,[1]Capacity!D577,[1]Curvv!E:E)</f>
        <v>2334</v>
      </c>
      <c r="AC577" s="21"/>
      <c r="AD577" s="21"/>
      <c r="AE577" s="21"/>
      <c r="AF577" s="20">
        <f>SUMIF('[1]G-Chart'!G:G,[1]Capacity!D577,'[1]G-Chart'!L:L)</f>
        <v>530</v>
      </c>
      <c r="AG577" s="17">
        <f t="shared" si="191"/>
        <v>0</v>
      </c>
      <c r="AH577" s="17">
        <f t="shared" si="192"/>
        <v>0</v>
      </c>
      <c r="AI577" s="17">
        <f t="shared" si="193"/>
        <v>0</v>
      </c>
      <c r="AJ577" s="17">
        <f t="shared" si="194"/>
        <v>0</v>
      </c>
      <c r="AK577" s="17">
        <f t="shared" si="195"/>
        <v>0</v>
      </c>
      <c r="AL577" s="17">
        <f t="shared" si="196"/>
        <v>0</v>
      </c>
      <c r="AM577" s="17">
        <f t="shared" si="197"/>
        <v>530</v>
      </c>
    </row>
    <row r="578" spans="1:39" x14ac:dyDescent="0.3">
      <c r="A578" s="58">
        <v>26</v>
      </c>
      <c r="B578" s="58" t="s">
        <v>1257</v>
      </c>
      <c r="C578" s="59" t="s">
        <v>1312</v>
      </c>
      <c r="D578" s="63" t="s">
        <v>1312</v>
      </c>
      <c r="E578" s="59" t="s">
        <v>1313</v>
      </c>
      <c r="F578" s="114">
        <v>0</v>
      </c>
      <c r="G578" s="115">
        <f t="shared" si="199"/>
        <v>2.5</v>
      </c>
      <c r="H578" s="17"/>
      <c r="I578" s="17">
        <f t="shared" si="200"/>
        <v>0</v>
      </c>
      <c r="J578" s="17">
        <v>1</v>
      </c>
      <c r="K578" s="28">
        <f t="shared" si="184"/>
        <v>0</v>
      </c>
      <c r="L578" s="17">
        <v>1.5</v>
      </c>
      <c r="M578" s="28">
        <f t="shared" si="185"/>
        <v>0</v>
      </c>
      <c r="N578" s="17"/>
      <c r="O578" s="28">
        <f t="shared" si="186"/>
        <v>0</v>
      </c>
      <c r="P578" s="17"/>
      <c r="Q578" s="28">
        <f t="shared" si="187"/>
        <v>0</v>
      </c>
      <c r="R578" s="17"/>
      <c r="S578" s="28">
        <f t="shared" si="188"/>
        <v>0</v>
      </c>
      <c r="T578" s="17"/>
      <c r="U578" s="15">
        <f t="shared" si="189"/>
        <v>0</v>
      </c>
      <c r="V578" s="28">
        <f t="shared" si="190"/>
        <v>0</v>
      </c>
      <c r="W578" s="17"/>
      <c r="X578" s="17"/>
      <c r="Y578" s="18">
        <v>0.27300000000000002</v>
      </c>
      <c r="Z578" s="21"/>
      <c r="AA578" s="17">
        <v>1</v>
      </c>
      <c r="AB578" s="17">
        <f>SUMIF([1]Curvv!B:B,[1]Capacity!D578,[1]Curvv!E:E)</f>
        <v>2334</v>
      </c>
      <c r="AC578" s="21"/>
      <c r="AD578" s="21"/>
      <c r="AE578" s="21"/>
      <c r="AF578" s="20">
        <f>SUMIF('[1]G-Chart'!G:G,[1]Capacity!D578,'[1]G-Chart'!L:L)</f>
        <v>-1565</v>
      </c>
      <c r="AG578" s="17">
        <v>0</v>
      </c>
      <c r="AH578" s="17">
        <v>0</v>
      </c>
      <c r="AI578" s="17">
        <f t="shared" si="193"/>
        <v>0</v>
      </c>
      <c r="AJ578" s="17">
        <f t="shared" si="194"/>
        <v>0</v>
      </c>
      <c r="AK578" s="17">
        <f t="shared" si="195"/>
        <v>0</v>
      </c>
      <c r="AL578" s="17">
        <f t="shared" si="196"/>
        <v>0</v>
      </c>
      <c r="AM578" s="17">
        <f t="shared" si="197"/>
        <v>-3912.5</v>
      </c>
    </row>
    <row r="579" spans="1:39" x14ac:dyDescent="0.3">
      <c r="A579" s="58">
        <v>27</v>
      </c>
      <c r="B579" s="58" t="s">
        <v>1257</v>
      </c>
      <c r="C579" s="59" t="s">
        <v>1314</v>
      </c>
      <c r="D579" s="63" t="s">
        <v>1314</v>
      </c>
      <c r="E579" s="59" t="s">
        <v>1315</v>
      </c>
      <c r="F579" s="114">
        <v>0</v>
      </c>
      <c r="G579" s="115">
        <f t="shared" si="199"/>
        <v>2.5</v>
      </c>
      <c r="H579" s="17"/>
      <c r="I579" s="17">
        <f t="shared" si="200"/>
        <v>0</v>
      </c>
      <c r="J579" s="17">
        <v>1</v>
      </c>
      <c r="K579" s="28">
        <f t="shared" si="184"/>
        <v>0</v>
      </c>
      <c r="L579" s="17">
        <v>1.5</v>
      </c>
      <c r="M579" s="28">
        <f t="shared" si="185"/>
        <v>0</v>
      </c>
      <c r="N579" s="17"/>
      <c r="O579" s="28">
        <f t="shared" si="186"/>
        <v>0</v>
      </c>
      <c r="P579" s="17"/>
      <c r="Q579" s="28">
        <f t="shared" si="187"/>
        <v>0</v>
      </c>
      <c r="R579" s="17"/>
      <c r="S579" s="28">
        <f t="shared" si="188"/>
        <v>0</v>
      </c>
      <c r="T579" s="17"/>
      <c r="U579" s="15">
        <f t="shared" si="189"/>
        <v>0</v>
      </c>
      <c r="V579" s="28">
        <f t="shared" si="190"/>
        <v>0</v>
      </c>
      <c r="W579" s="17"/>
      <c r="X579" s="17"/>
      <c r="Y579" s="18">
        <v>0.217</v>
      </c>
      <c r="Z579" s="21"/>
      <c r="AA579" s="17">
        <v>1</v>
      </c>
      <c r="AB579" s="17">
        <f>SUMIF([1]Curvv!B:B,[1]Capacity!D579,[1]Curvv!E:E)</f>
        <v>2334</v>
      </c>
      <c r="AC579" s="21"/>
      <c r="AD579" s="21"/>
      <c r="AE579" s="21"/>
      <c r="AF579" s="20">
        <f>SUMIF('[1]G-Chart'!G:G,[1]Capacity!D579,'[1]G-Chart'!L:L)</f>
        <v>-1665</v>
      </c>
      <c r="AG579" s="17">
        <v>0</v>
      </c>
      <c r="AH579" s="17">
        <v>0</v>
      </c>
      <c r="AI579" s="17">
        <f t="shared" si="193"/>
        <v>0</v>
      </c>
      <c r="AJ579" s="17">
        <f t="shared" si="194"/>
        <v>0</v>
      </c>
      <c r="AK579" s="17">
        <f t="shared" si="195"/>
        <v>0</v>
      </c>
      <c r="AL579" s="17">
        <f t="shared" si="196"/>
        <v>0</v>
      </c>
      <c r="AM579" s="17">
        <f t="shared" si="197"/>
        <v>-4162.5</v>
      </c>
    </row>
    <row r="580" spans="1:39" x14ac:dyDescent="0.3">
      <c r="A580" s="58">
        <v>28</v>
      </c>
      <c r="B580" s="58" t="s">
        <v>1257</v>
      </c>
      <c r="C580" s="59" t="s">
        <v>1316</v>
      </c>
      <c r="D580" s="59" t="s">
        <v>1316</v>
      </c>
      <c r="E580" s="59" t="s">
        <v>1317</v>
      </c>
      <c r="F580" s="114">
        <f t="shared" si="198"/>
        <v>2334</v>
      </c>
      <c r="G580" s="115">
        <f t="shared" si="199"/>
        <v>3</v>
      </c>
      <c r="H580" s="116">
        <v>1</v>
      </c>
      <c r="I580" s="17">
        <f t="shared" si="200"/>
        <v>2334</v>
      </c>
      <c r="J580" s="17"/>
      <c r="K580" s="28">
        <f t="shared" si="184"/>
        <v>0</v>
      </c>
      <c r="L580" s="17"/>
      <c r="M580" s="28">
        <f t="shared" si="185"/>
        <v>0</v>
      </c>
      <c r="N580" s="17">
        <v>1</v>
      </c>
      <c r="O580" s="28">
        <f t="shared" si="186"/>
        <v>2334</v>
      </c>
      <c r="P580" s="17">
        <v>1</v>
      </c>
      <c r="Q580" s="28">
        <f t="shared" si="187"/>
        <v>2334</v>
      </c>
      <c r="R580" s="17"/>
      <c r="S580" s="28">
        <f t="shared" si="188"/>
        <v>0</v>
      </c>
      <c r="T580" s="17"/>
      <c r="U580" s="15">
        <f t="shared" si="189"/>
        <v>0</v>
      </c>
      <c r="V580" s="28">
        <f t="shared" si="190"/>
        <v>7002</v>
      </c>
      <c r="W580" s="17"/>
      <c r="X580" s="17"/>
      <c r="Y580" s="18">
        <v>4.7E-2</v>
      </c>
      <c r="Z580" s="21"/>
      <c r="AA580" s="17">
        <v>1</v>
      </c>
      <c r="AB580" s="17">
        <f>SUMIF([1]Curvv!B:B,[1]Capacity!D580,[1]Curvv!E:E)</f>
        <v>2334</v>
      </c>
      <c r="AC580" s="21"/>
      <c r="AD580" s="21"/>
      <c r="AE580" s="21"/>
      <c r="AF580" s="20">
        <f>SUMIF('[1]G-Chart'!G:G,[1]Capacity!D580,'[1]G-Chart'!L:L)</f>
        <v>0</v>
      </c>
      <c r="AG580" s="17">
        <f t="shared" si="191"/>
        <v>0</v>
      </c>
      <c r="AH580" s="17">
        <f t="shared" si="192"/>
        <v>0</v>
      </c>
      <c r="AI580" s="17">
        <f t="shared" si="193"/>
        <v>0</v>
      </c>
      <c r="AJ580" s="17">
        <f t="shared" si="194"/>
        <v>0</v>
      </c>
      <c r="AK580" s="17">
        <f t="shared" si="195"/>
        <v>0</v>
      </c>
      <c r="AL580" s="17">
        <f t="shared" si="196"/>
        <v>0</v>
      </c>
      <c r="AM580" s="17">
        <f t="shared" si="197"/>
        <v>0</v>
      </c>
    </row>
    <row r="581" spans="1:39" x14ac:dyDescent="0.3">
      <c r="A581" s="58">
        <v>29</v>
      </c>
      <c r="B581" s="58" t="s">
        <v>1257</v>
      </c>
      <c r="C581" s="59" t="s">
        <v>1318</v>
      </c>
      <c r="D581" s="59" t="s">
        <v>1318</v>
      </c>
      <c r="E581" s="59" t="s">
        <v>1319</v>
      </c>
      <c r="F581" s="114">
        <f t="shared" si="198"/>
        <v>2334</v>
      </c>
      <c r="G581" s="115">
        <f t="shared" si="199"/>
        <v>3</v>
      </c>
      <c r="H581" s="116">
        <v>1</v>
      </c>
      <c r="I581" s="17">
        <f t="shared" si="200"/>
        <v>2334</v>
      </c>
      <c r="J581" s="17"/>
      <c r="K581" s="28">
        <f t="shared" si="184"/>
        <v>0</v>
      </c>
      <c r="L581" s="17"/>
      <c r="M581" s="28">
        <f t="shared" si="185"/>
        <v>0</v>
      </c>
      <c r="N581" s="17">
        <v>1</v>
      </c>
      <c r="O581" s="28">
        <f t="shared" si="186"/>
        <v>2334</v>
      </c>
      <c r="P581" s="17">
        <v>1</v>
      </c>
      <c r="Q581" s="28">
        <f t="shared" si="187"/>
        <v>2334</v>
      </c>
      <c r="R581" s="17"/>
      <c r="S581" s="28">
        <f t="shared" si="188"/>
        <v>0</v>
      </c>
      <c r="T581" s="17"/>
      <c r="U581" s="15">
        <f t="shared" si="189"/>
        <v>0</v>
      </c>
      <c r="V581" s="28">
        <f t="shared" si="190"/>
        <v>7002</v>
      </c>
      <c r="W581" s="17"/>
      <c r="X581" s="17"/>
      <c r="Y581" s="18">
        <v>4.7E-2</v>
      </c>
      <c r="Z581" s="21"/>
      <c r="AA581" s="17">
        <v>1</v>
      </c>
      <c r="AB581" s="17">
        <f>SUMIF([1]Curvv!B:B,[1]Capacity!D581,[1]Curvv!E:E)</f>
        <v>2334</v>
      </c>
      <c r="AC581" s="21"/>
      <c r="AD581" s="21"/>
      <c r="AE581" s="21"/>
      <c r="AF581" s="20">
        <f>SUMIF('[1]G-Chart'!G:G,[1]Capacity!D581,'[1]G-Chart'!L:L)</f>
        <v>0</v>
      </c>
      <c r="AG581" s="17">
        <f t="shared" si="191"/>
        <v>0</v>
      </c>
      <c r="AH581" s="17">
        <f t="shared" si="192"/>
        <v>0</v>
      </c>
      <c r="AI581" s="17">
        <f t="shared" si="193"/>
        <v>0</v>
      </c>
      <c r="AJ581" s="17">
        <f t="shared" si="194"/>
        <v>0</v>
      </c>
      <c r="AK581" s="17">
        <f t="shared" si="195"/>
        <v>0</v>
      </c>
      <c r="AL581" s="17">
        <f t="shared" si="196"/>
        <v>0</v>
      </c>
      <c r="AM581" s="17">
        <f t="shared" si="197"/>
        <v>0</v>
      </c>
    </row>
    <row r="582" spans="1:39" x14ac:dyDescent="0.3">
      <c r="A582" s="58">
        <v>30</v>
      </c>
      <c r="B582" s="58" t="s">
        <v>1257</v>
      </c>
      <c r="C582" s="59" t="s">
        <v>1320</v>
      </c>
      <c r="D582" s="59" t="s">
        <v>1320</v>
      </c>
      <c r="E582" s="59" t="s">
        <v>1321</v>
      </c>
      <c r="F582" s="114">
        <f t="shared" si="198"/>
        <v>2334</v>
      </c>
      <c r="G582" s="115">
        <f t="shared" si="199"/>
        <v>3</v>
      </c>
      <c r="H582" s="17"/>
      <c r="I582" s="17">
        <f t="shared" si="200"/>
        <v>0</v>
      </c>
      <c r="J582" s="17">
        <v>2</v>
      </c>
      <c r="K582" s="28">
        <f t="shared" si="184"/>
        <v>4668</v>
      </c>
      <c r="L582" s="17">
        <v>1</v>
      </c>
      <c r="M582" s="28">
        <f t="shared" si="185"/>
        <v>2334</v>
      </c>
      <c r="N582" s="17"/>
      <c r="O582" s="28">
        <f t="shared" si="186"/>
        <v>0</v>
      </c>
      <c r="P582" s="17"/>
      <c r="Q582" s="28">
        <f t="shared" si="187"/>
        <v>0</v>
      </c>
      <c r="R582" s="17"/>
      <c r="S582" s="28">
        <f t="shared" si="188"/>
        <v>0</v>
      </c>
      <c r="T582" s="17"/>
      <c r="U582" s="15">
        <f t="shared" si="189"/>
        <v>0</v>
      </c>
      <c r="V582" s="28">
        <f t="shared" si="190"/>
        <v>7002</v>
      </c>
      <c r="W582" s="17"/>
      <c r="X582" s="17"/>
      <c r="Y582" s="18">
        <v>0.217</v>
      </c>
      <c r="Z582" s="21"/>
      <c r="AA582" s="17">
        <v>1</v>
      </c>
      <c r="AB582" s="17">
        <f>SUMIF([1]Curvv!B:B,[1]Capacity!D582,[1]Curvv!E:E)</f>
        <v>2334</v>
      </c>
      <c r="AC582" s="21"/>
      <c r="AD582" s="21"/>
      <c r="AE582" s="21"/>
      <c r="AF582" s="20">
        <f>SUMIF('[1]G-Chart'!G:G,[1]Capacity!D582,'[1]G-Chart'!L:L)</f>
        <v>2217</v>
      </c>
      <c r="AG582" s="17">
        <f t="shared" si="191"/>
        <v>4434</v>
      </c>
      <c r="AH582" s="17">
        <f t="shared" si="192"/>
        <v>2217</v>
      </c>
      <c r="AI582" s="17">
        <f t="shared" si="193"/>
        <v>0</v>
      </c>
      <c r="AJ582" s="17">
        <f t="shared" si="194"/>
        <v>0</v>
      </c>
      <c r="AK582" s="17">
        <f t="shared" si="195"/>
        <v>0</v>
      </c>
      <c r="AL582" s="17">
        <f t="shared" si="196"/>
        <v>0</v>
      </c>
      <c r="AM582" s="17">
        <f t="shared" si="197"/>
        <v>6651</v>
      </c>
    </row>
    <row r="583" spans="1:39" x14ac:dyDescent="0.3">
      <c r="A583" s="58">
        <v>31</v>
      </c>
      <c r="B583" s="58" t="s">
        <v>1257</v>
      </c>
      <c r="C583" s="59" t="s">
        <v>1322</v>
      </c>
      <c r="D583" s="59" t="s">
        <v>1322</v>
      </c>
      <c r="E583" s="59" t="s">
        <v>1323</v>
      </c>
      <c r="F583" s="114">
        <f t="shared" si="198"/>
        <v>2334</v>
      </c>
      <c r="G583" s="115">
        <f t="shared" si="199"/>
        <v>3</v>
      </c>
      <c r="H583" s="17"/>
      <c r="I583" s="17">
        <f t="shared" si="200"/>
        <v>0</v>
      </c>
      <c r="J583" s="17">
        <v>2</v>
      </c>
      <c r="K583" s="28">
        <f t="shared" si="184"/>
        <v>4668</v>
      </c>
      <c r="L583" s="17">
        <v>1</v>
      </c>
      <c r="M583" s="28">
        <f t="shared" si="185"/>
        <v>2334</v>
      </c>
      <c r="N583" s="17"/>
      <c r="O583" s="28">
        <f t="shared" si="186"/>
        <v>0</v>
      </c>
      <c r="P583" s="17"/>
      <c r="Q583" s="28">
        <f t="shared" si="187"/>
        <v>0</v>
      </c>
      <c r="R583" s="17"/>
      <c r="S583" s="28">
        <f t="shared" si="188"/>
        <v>0</v>
      </c>
      <c r="T583" s="17"/>
      <c r="U583" s="15">
        <f t="shared" si="189"/>
        <v>0</v>
      </c>
      <c r="V583" s="28">
        <f t="shared" si="190"/>
        <v>7002</v>
      </c>
      <c r="W583" s="17"/>
      <c r="X583" s="17"/>
      <c r="Y583" s="18">
        <v>0.21</v>
      </c>
      <c r="Z583" s="21"/>
      <c r="AA583" s="17">
        <v>1</v>
      </c>
      <c r="AB583" s="17">
        <f>SUMIF([1]Curvv!B:B,[1]Capacity!D583,[1]Curvv!E:E)</f>
        <v>2334</v>
      </c>
      <c r="AC583" s="21"/>
      <c r="AD583" s="21"/>
      <c r="AE583" s="21"/>
      <c r="AF583" s="20">
        <f>SUMIF('[1]G-Chart'!G:G,[1]Capacity!D583,'[1]G-Chart'!L:L)</f>
        <v>2366</v>
      </c>
      <c r="AG583" s="17">
        <f t="shared" si="191"/>
        <v>4732</v>
      </c>
      <c r="AH583" s="17">
        <f t="shared" si="192"/>
        <v>2366</v>
      </c>
      <c r="AI583" s="17">
        <f t="shared" si="193"/>
        <v>0</v>
      </c>
      <c r="AJ583" s="17">
        <f t="shared" si="194"/>
        <v>0</v>
      </c>
      <c r="AK583" s="17">
        <f t="shared" si="195"/>
        <v>0</v>
      </c>
      <c r="AL583" s="17">
        <f t="shared" si="196"/>
        <v>0</v>
      </c>
      <c r="AM583" s="17">
        <f t="shared" si="197"/>
        <v>7098</v>
      </c>
    </row>
    <row r="584" spans="1:39" x14ac:dyDescent="0.3">
      <c r="A584" s="58">
        <v>32</v>
      </c>
      <c r="B584" s="58" t="s">
        <v>1257</v>
      </c>
      <c r="C584" s="59" t="s">
        <v>1324</v>
      </c>
      <c r="D584" s="63" t="s">
        <v>1324</v>
      </c>
      <c r="E584" s="59" t="s">
        <v>1325</v>
      </c>
      <c r="F584" s="114">
        <v>0</v>
      </c>
      <c r="G584" s="115">
        <f t="shared" si="199"/>
        <v>6</v>
      </c>
      <c r="H584" s="17"/>
      <c r="I584" s="17">
        <f t="shared" si="200"/>
        <v>0</v>
      </c>
      <c r="J584" s="17">
        <v>5</v>
      </c>
      <c r="K584" s="28">
        <f t="shared" si="184"/>
        <v>0</v>
      </c>
      <c r="L584" s="17">
        <v>1</v>
      </c>
      <c r="M584" s="28">
        <f t="shared" si="185"/>
        <v>0</v>
      </c>
      <c r="N584" s="17"/>
      <c r="O584" s="28">
        <f t="shared" si="186"/>
        <v>0</v>
      </c>
      <c r="P584" s="17"/>
      <c r="Q584" s="28">
        <f t="shared" si="187"/>
        <v>0</v>
      </c>
      <c r="R584" s="17"/>
      <c r="S584" s="28">
        <f t="shared" si="188"/>
        <v>0</v>
      </c>
      <c r="T584" s="17"/>
      <c r="U584" s="15">
        <f t="shared" si="189"/>
        <v>0</v>
      </c>
      <c r="V584" s="28">
        <f t="shared" si="190"/>
        <v>0</v>
      </c>
      <c r="W584" s="17"/>
      <c r="X584" s="17"/>
      <c r="Y584" s="18">
        <v>0.68600000000000005</v>
      </c>
      <c r="Z584" s="21"/>
      <c r="AA584" s="17">
        <v>1</v>
      </c>
      <c r="AB584" s="17">
        <f>SUMIF([1]Curvv!B:B,[1]Capacity!D584,[1]Curvv!E:E)</f>
        <v>2334</v>
      </c>
      <c r="AC584" s="21"/>
      <c r="AD584" s="21"/>
      <c r="AE584" s="21"/>
      <c r="AF584" s="20">
        <f>SUMIF('[1]G-Chart'!G:G,[1]Capacity!D584,'[1]G-Chart'!L:L)</f>
        <v>-1565</v>
      </c>
      <c r="AG584" s="17">
        <v>0</v>
      </c>
      <c r="AH584" s="17">
        <v>0</v>
      </c>
      <c r="AI584" s="17">
        <f t="shared" si="193"/>
        <v>0</v>
      </c>
      <c r="AJ584" s="17">
        <f t="shared" si="194"/>
        <v>0</v>
      </c>
      <c r="AK584" s="17">
        <f t="shared" si="195"/>
        <v>0</v>
      </c>
      <c r="AL584" s="17">
        <f t="shared" si="196"/>
        <v>0</v>
      </c>
      <c r="AM584" s="17">
        <f t="shared" si="197"/>
        <v>-9390</v>
      </c>
    </row>
    <row r="585" spans="1:39" x14ac:dyDescent="0.3">
      <c r="A585" s="58">
        <v>33</v>
      </c>
      <c r="B585" s="58" t="s">
        <v>1257</v>
      </c>
      <c r="C585" s="59" t="s">
        <v>1326</v>
      </c>
      <c r="D585" s="63" t="s">
        <v>1326</v>
      </c>
      <c r="E585" s="59" t="s">
        <v>1327</v>
      </c>
      <c r="F585" s="114">
        <v>0</v>
      </c>
      <c r="G585" s="115">
        <f t="shared" si="199"/>
        <v>6</v>
      </c>
      <c r="H585" s="17"/>
      <c r="I585" s="17">
        <f t="shared" si="200"/>
        <v>0</v>
      </c>
      <c r="J585" s="17">
        <v>5</v>
      </c>
      <c r="K585" s="28">
        <f t="shared" si="184"/>
        <v>0</v>
      </c>
      <c r="L585" s="17">
        <v>1</v>
      </c>
      <c r="M585" s="28">
        <f t="shared" si="185"/>
        <v>0</v>
      </c>
      <c r="N585" s="17"/>
      <c r="O585" s="28">
        <f t="shared" si="186"/>
        <v>0</v>
      </c>
      <c r="P585" s="17"/>
      <c r="Q585" s="28">
        <f t="shared" si="187"/>
        <v>0</v>
      </c>
      <c r="R585" s="17"/>
      <c r="S585" s="28">
        <f t="shared" si="188"/>
        <v>0</v>
      </c>
      <c r="T585" s="17"/>
      <c r="U585" s="15">
        <f t="shared" si="189"/>
        <v>0</v>
      </c>
      <c r="V585" s="28">
        <f t="shared" si="190"/>
        <v>0</v>
      </c>
      <c r="W585" s="17"/>
      <c r="X585" s="17"/>
      <c r="Y585" s="18">
        <v>0.68600000000000005</v>
      </c>
      <c r="Z585" s="21"/>
      <c r="AA585" s="17">
        <v>1</v>
      </c>
      <c r="AB585" s="17">
        <f>SUMIF([1]Curvv!B:B,[1]Capacity!D585,[1]Curvv!E:E)</f>
        <v>2334</v>
      </c>
      <c r="AC585" s="21"/>
      <c r="AD585" s="21"/>
      <c r="AE585" s="21"/>
      <c r="AF585" s="20">
        <f>SUMIF('[1]G-Chart'!G:G,[1]Capacity!D585,'[1]G-Chart'!L:L)</f>
        <v>-1665</v>
      </c>
      <c r="AG585" s="17">
        <v>0</v>
      </c>
      <c r="AH585" s="17">
        <v>0</v>
      </c>
      <c r="AI585" s="17">
        <f t="shared" si="193"/>
        <v>0</v>
      </c>
      <c r="AJ585" s="17">
        <f t="shared" si="194"/>
        <v>0</v>
      </c>
      <c r="AK585" s="17">
        <f t="shared" si="195"/>
        <v>0</v>
      </c>
      <c r="AL585" s="17">
        <f t="shared" si="196"/>
        <v>0</v>
      </c>
      <c r="AM585" s="17">
        <f t="shared" si="197"/>
        <v>-9990</v>
      </c>
    </row>
    <row r="586" spans="1:39" x14ac:dyDescent="0.3">
      <c r="A586" s="58">
        <v>34</v>
      </c>
      <c r="B586" s="58" t="s">
        <v>1257</v>
      </c>
      <c r="C586" s="59" t="s">
        <v>1328</v>
      </c>
      <c r="D586" s="59" t="s">
        <v>1328</v>
      </c>
      <c r="E586" s="59" t="s">
        <v>1329</v>
      </c>
      <c r="F586" s="114">
        <f t="shared" si="198"/>
        <v>2334</v>
      </c>
      <c r="G586" s="115">
        <f t="shared" si="199"/>
        <v>2</v>
      </c>
      <c r="H586" s="17"/>
      <c r="I586" s="17">
        <f t="shared" si="200"/>
        <v>0</v>
      </c>
      <c r="J586" s="17"/>
      <c r="K586" s="28">
        <f t="shared" si="184"/>
        <v>0</v>
      </c>
      <c r="L586" s="17">
        <v>1.5</v>
      </c>
      <c r="M586" s="28">
        <f t="shared" si="185"/>
        <v>3501</v>
      </c>
      <c r="N586" s="17">
        <v>0.5</v>
      </c>
      <c r="O586" s="28">
        <f t="shared" si="186"/>
        <v>1167</v>
      </c>
      <c r="P586" s="17"/>
      <c r="Q586" s="28">
        <f t="shared" si="187"/>
        <v>0</v>
      </c>
      <c r="R586" s="17"/>
      <c r="S586" s="28">
        <f t="shared" si="188"/>
        <v>0</v>
      </c>
      <c r="T586" s="17"/>
      <c r="U586" s="15">
        <f t="shared" si="189"/>
        <v>0</v>
      </c>
      <c r="V586" s="28">
        <f t="shared" si="190"/>
        <v>4668</v>
      </c>
      <c r="W586" s="17"/>
      <c r="X586" s="17"/>
      <c r="Y586" s="18">
        <v>0.14000000000000001</v>
      </c>
      <c r="Z586" s="21"/>
      <c r="AA586" s="17">
        <v>1</v>
      </c>
      <c r="AB586" s="17">
        <f>SUMIF([1]Curvv!B:B,[1]Capacity!D586,[1]Curvv!E:E)</f>
        <v>2334</v>
      </c>
      <c r="AC586" s="21"/>
      <c r="AD586" s="21"/>
      <c r="AE586" s="21"/>
      <c r="AF586" s="20">
        <f>SUMIF('[1]G-Chart'!G:G,[1]Capacity!D586,'[1]G-Chart'!L:L)</f>
        <v>0</v>
      </c>
      <c r="AG586" s="17">
        <f t="shared" si="191"/>
        <v>0</v>
      </c>
      <c r="AH586" s="17">
        <f t="shared" si="192"/>
        <v>0</v>
      </c>
      <c r="AI586" s="17">
        <f t="shared" si="193"/>
        <v>0</v>
      </c>
      <c r="AJ586" s="17">
        <f t="shared" si="194"/>
        <v>0</v>
      </c>
      <c r="AK586" s="17">
        <f t="shared" si="195"/>
        <v>0</v>
      </c>
      <c r="AL586" s="17">
        <f t="shared" si="196"/>
        <v>0</v>
      </c>
      <c r="AM586" s="17">
        <f t="shared" si="197"/>
        <v>0</v>
      </c>
    </row>
    <row r="587" spans="1:39" x14ac:dyDescent="0.3">
      <c r="A587" s="58">
        <v>35</v>
      </c>
      <c r="B587" s="58" t="s">
        <v>1257</v>
      </c>
      <c r="C587" s="59" t="s">
        <v>1330</v>
      </c>
      <c r="D587" s="59" t="s">
        <v>1330</v>
      </c>
      <c r="E587" s="59" t="s">
        <v>1331</v>
      </c>
      <c r="F587" s="114">
        <f t="shared" si="198"/>
        <v>2334</v>
      </c>
      <c r="G587" s="115">
        <f t="shared" si="199"/>
        <v>2</v>
      </c>
      <c r="H587" s="17"/>
      <c r="I587" s="17">
        <f t="shared" si="200"/>
        <v>0</v>
      </c>
      <c r="J587" s="17"/>
      <c r="K587" s="28">
        <f t="shared" si="184"/>
        <v>0</v>
      </c>
      <c r="L587" s="17">
        <v>1.5</v>
      </c>
      <c r="M587" s="28">
        <f t="shared" si="185"/>
        <v>3501</v>
      </c>
      <c r="N587" s="17">
        <v>0.5</v>
      </c>
      <c r="O587" s="28">
        <f t="shared" si="186"/>
        <v>1167</v>
      </c>
      <c r="P587" s="17"/>
      <c r="Q587" s="28">
        <f t="shared" si="187"/>
        <v>0</v>
      </c>
      <c r="R587" s="17"/>
      <c r="S587" s="28">
        <f t="shared" si="188"/>
        <v>0</v>
      </c>
      <c r="T587" s="17"/>
      <c r="U587" s="15">
        <f t="shared" si="189"/>
        <v>0</v>
      </c>
      <c r="V587" s="28">
        <f t="shared" si="190"/>
        <v>4668</v>
      </c>
      <c r="W587" s="17"/>
      <c r="X587" s="17"/>
      <c r="Y587" s="18">
        <v>0.14000000000000001</v>
      </c>
      <c r="Z587" s="21"/>
      <c r="AA587" s="17">
        <v>1</v>
      </c>
      <c r="AB587" s="17">
        <f>SUMIF([1]Curvv!B:B,[1]Capacity!D587,[1]Curvv!E:E)</f>
        <v>2334</v>
      </c>
      <c r="AC587" s="21"/>
      <c r="AD587" s="21"/>
      <c r="AE587" s="21"/>
      <c r="AF587" s="20">
        <f>SUMIF('[1]G-Chart'!G:G,[1]Capacity!D587,'[1]G-Chart'!L:L)</f>
        <v>0</v>
      </c>
      <c r="AG587" s="17">
        <f t="shared" si="191"/>
        <v>0</v>
      </c>
      <c r="AH587" s="17">
        <f t="shared" si="192"/>
        <v>0</v>
      </c>
      <c r="AI587" s="17">
        <f t="shared" si="193"/>
        <v>0</v>
      </c>
      <c r="AJ587" s="17">
        <f t="shared" si="194"/>
        <v>0</v>
      </c>
      <c r="AK587" s="17">
        <f t="shared" si="195"/>
        <v>0</v>
      </c>
      <c r="AL587" s="17">
        <f t="shared" si="196"/>
        <v>0</v>
      </c>
      <c r="AM587" s="17">
        <f t="shared" si="197"/>
        <v>0</v>
      </c>
    </row>
    <row r="588" spans="1:39" x14ac:dyDescent="0.3">
      <c r="A588" s="58">
        <v>36</v>
      </c>
      <c r="B588" s="58" t="s">
        <v>1257</v>
      </c>
      <c r="C588" s="59" t="s">
        <v>1332</v>
      </c>
      <c r="D588" s="59" t="s">
        <v>1332</v>
      </c>
      <c r="E588" s="59" t="s">
        <v>1333</v>
      </c>
      <c r="F588" s="114">
        <f t="shared" si="198"/>
        <v>2334</v>
      </c>
      <c r="G588" s="115">
        <f t="shared" si="199"/>
        <v>3</v>
      </c>
      <c r="H588" s="17">
        <v>1</v>
      </c>
      <c r="I588" s="17">
        <f t="shared" si="200"/>
        <v>2334</v>
      </c>
      <c r="J588" s="17">
        <v>1.5</v>
      </c>
      <c r="K588" s="28">
        <f t="shared" si="184"/>
        <v>3501</v>
      </c>
      <c r="L588" s="17">
        <v>0.5</v>
      </c>
      <c r="M588" s="28">
        <f t="shared" si="185"/>
        <v>1167</v>
      </c>
      <c r="N588" s="17"/>
      <c r="O588" s="28">
        <f t="shared" si="186"/>
        <v>0</v>
      </c>
      <c r="P588" s="17"/>
      <c r="Q588" s="28">
        <f t="shared" si="187"/>
        <v>0</v>
      </c>
      <c r="R588" s="17"/>
      <c r="S588" s="28">
        <f t="shared" si="188"/>
        <v>0</v>
      </c>
      <c r="T588" s="17"/>
      <c r="U588" s="15">
        <f t="shared" si="189"/>
        <v>0</v>
      </c>
      <c r="V588" s="28">
        <f t="shared" si="190"/>
        <v>7002</v>
      </c>
      <c r="W588" s="17"/>
      <c r="X588" s="17"/>
      <c r="Y588" s="18">
        <v>0.22900000000000001</v>
      </c>
      <c r="Z588" s="21"/>
      <c r="AA588" s="17">
        <v>1</v>
      </c>
      <c r="AB588" s="17">
        <f>SUMIF([1]Curvv!B:B,[1]Capacity!D588,[1]Curvv!E:E)</f>
        <v>2334</v>
      </c>
      <c r="AC588" s="21"/>
      <c r="AD588" s="21"/>
      <c r="AE588" s="21"/>
      <c r="AF588" s="20">
        <f>SUMIF('[1]G-Chart'!G:G,[1]Capacity!D588,'[1]G-Chart'!L:L)</f>
        <v>1917</v>
      </c>
      <c r="AG588" s="17">
        <f t="shared" si="191"/>
        <v>2875.5</v>
      </c>
      <c r="AH588" s="17">
        <f t="shared" si="192"/>
        <v>958.5</v>
      </c>
      <c r="AI588" s="17">
        <f t="shared" si="193"/>
        <v>0</v>
      </c>
      <c r="AJ588" s="17">
        <f t="shared" si="194"/>
        <v>0</v>
      </c>
      <c r="AK588" s="17">
        <f t="shared" si="195"/>
        <v>0</v>
      </c>
      <c r="AL588" s="17">
        <f t="shared" si="196"/>
        <v>0</v>
      </c>
      <c r="AM588" s="17">
        <f t="shared" si="197"/>
        <v>5751</v>
      </c>
    </row>
    <row r="589" spans="1:39" x14ac:dyDescent="0.3">
      <c r="A589" s="58">
        <v>37</v>
      </c>
      <c r="B589" s="58" t="s">
        <v>1257</v>
      </c>
      <c r="C589" s="59" t="s">
        <v>1334</v>
      </c>
      <c r="D589" s="59" t="s">
        <v>1334</v>
      </c>
      <c r="E589" s="59" t="s">
        <v>1335</v>
      </c>
      <c r="F589" s="114">
        <f t="shared" si="198"/>
        <v>2334</v>
      </c>
      <c r="G589" s="115">
        <f t="shared" si="199"/>
        <v>3</v>
      </c>
      <c r="H589" s="17">
        <v>1</v>
      </c>
      <c r="I589" s="17">
        <f t="shared" si="200"/>
        <v>2334</v>
      </c>
      <c r="J589" s="17">
        <v>1.5</v>
      </c>
      <c r="K589" s="28">
        <f t="shared" si="184"/>
        <v>3501</v>
      </c>
      <c r="L589" s="17">
        <v>0.5</v>
      </c>
      <c r="M589" s="28">
        <f t="shared" si="185"/>
        <v>1167</v>
      </c>
      <c r="N589" s="17"/>
      <c r="O589" s="28">
        <f t="shared" si="186"/>
        <v>0</v>
      </c>
      <c r="P589" s="17"/>
      <c r="Q589" s="28">
        <f t="shared" si="187"/>
        <v>0</v>
      </c>
      <c r="R589" s="17"/>
      <c r="S589" s="28">
        <f t="shared" si="188"/>
        <v>0</v>
      </c>
      <c r="T589" s="17"/>
      <c r="U589" s="15">
        <f t="shared" si="189"/>
        <v>0</v>
      </c>
      <c r="V589" s="28">
        <f t="shared" si="190"/>
        <v>7002</v>
      </c>
      <c r="W589" s="17"/>
      <c r="X589" s="17"/>
      <c r="Y589" s="18">
        <v>0.22900000000000001</v>
      </c>
      <c r="Z589" s="21"/>
      <c r="AA589" s="17">
        <v>1</v>
      </c>
      <c r="AB589" s="17">
        <f>SUMIF([1]Curvv!B:B,[1]Capacity!D589,[1]Curvv!E:E)</f>
        <v>2334</v>
      </c>
      <c r="AC589" s="21"/>
      <c r="AD589" s="21"/>
      <c r="AE589" s="21"/>
      <c r="AF589" s="20">
        <f>SUMIF('[1]G-Chart'!G:G,[1]Capacity!D589,'[1]G-Chart'!L:L)</f>
        <v>2139</v>
      </c>
      <c r="AG589" s="17">
        <f t="shared" si="191"/>
        <v>3208.5</v>
      </c>
      <c r="AH589" s="17">
        <f t="shared" si="192"/>
        <v>1069.5</v>
      </c>
      <c r="AI589" s="17">
        <f t="shared" si="193"/>
        <v>0</v>
      </c>
      <c r="AJ589" s="17">
        <f t="shared" si="194"/>
        <v>0</v>
      </c>
      <c r="AK589" s="17">
        <f t="shared" si="195"/>
        <v>0</v>
      </c>
      <c r="AL589" s="17">
        <f t="shared" si="196"/>
        <v>0</v>
      </c>
      <c r="AM589" s="17">
        <f t="shared" si="197"/>
        <v>6417</v>
      </c>
    </row>
    <row r="590" spans="1:39" x14ac:dyDescent="0.3">
      <c r="A590" s="58">
        <v>38</v>
      </c>
      <c r="B590" s="58" t="s">
        <v>1257</v>
      </c>
      <c r="C590" s="59" t="s">
        <v>1336</v>
      </c>
      <c r="D590" s="63" t="s">
        <v>1336</v>
      </c>
      <c r="E590" s="59" t="s">
        <v>1337</v>
      </c>
      <c r="F590" s="114">
        <v>0</v>
      </c>
      <c r="G590" s="115">
        <f t="shared" si="199"/>
        <v>3.5</v>
      </c>
      <c r="H590" s="17">
        <v>1</v>
      </c>
      <c r="I590" s="17">
        <f t="shared" si="200"/>
        <v>0</v>
      </c>
      <c r="J590" s="17">
        <v>2.5</v>
      </c>
      <c r="K590" s="28">
        <f t="shared" si="184"/>
        <v>0</v>
      </c>
      <c r="L590" s="17"/>
      <c r="M590" s="28">
        <f t="shared" si="185"/>
        <v>0</v>
      </c>
      <c r="N590" s="17"/>
      <c r="O590" s="28">
        <f t="shared" si="186"/>
        <v>0</v>
      </c>
      <c r="P590" s="17"/>
      <c r="Q590" s="28">
        <f t="shared" si="187"/>
        <v>0</v>
      </c>
      <c r="R590" s="17"/>
      <c r="S590" s="28">
        <f t="shared" si="188"/>
        <v>0</v>
      </c>
      <c r="T590" s="17"/>
      <c r="U590" s="15">
        <f t="shared" si="189"/>
        <v>0</v>
      </c>
      <c r="V590" s="28">
        <f t="shared" si="190"/>
        <v>0</v>
      </c>
      <c r="W590" s="17"/>
      <c r="X590" s="17"/>
      <c r="Y590" s="18">
        <v>0.995</v>
      </c>
      <c r="Z590" s="21"/>
      <c r="AA590" s="17">
        <v>1</v>
      </c>
      <c r="AB590" s="17">
        <f>SUMIF([1]Curvv!B:B,[1]Capacity!D590,[1]Curvv!E:E)</f>
        <v>2334</v>
      </c>
      <c r="AC590" s="21"/>
      <c r="AD590" s="21"/>
      <c r="AE590" s="21"/>
      <c r="AF590" s="20">
        <f>SUMIF('[1]G-Chart'!G:G,[1]Capacity!D590,'[1]G-Chart'!L:L)</f>
        <v>-1565</v>
      </c>
      <c r="AG590" s="17">
        <v>0</v>
      </c>
      <c r="AH590" s="17">
        <f t="shared" si="192"/>
        <v>0</v>
      </c>
      <c r="AI590" s="17">
        <f t="shared" si="193"/>
        <v>0</v>
      </c>
      <c r="AJ590" s="17">
        <f t="shared" si="194"/>
        <v>0</v>
      </c>
      <c r="AK590" s="17">
        <f t="shared" si="195"/>
        <v>0</v>
      </c>
      <c r="AL590" s="17">
        <f t="shared" si="196"/>
        <v>0</v>
      </c>
      <c r="AM590" s="17">
        <f t="shared" si="197"/>
        <v>-5477.5</v>
      </c>
    </row>
    <row r="591" spans="1:39" x14ac:dyDescent="0.3">
      <c r="A591" s="58">
        <v>39</v>
      </c>
      <c r="B591" s="58" t="s">
        <v>1257</v>
      </c>
      <c r="C591" s="59" t="s">
        <v>1338</v>
      </c>
      <c r="D591" s="63" t="s">
        <v>1338</v>
      </c>
      <c r="E591" s="59" t="s">
        <v>1339</v>
      </c>
      <c r="F591" s="114">
        <v>0</v>
      </c>
      <c r="G591" s="115">
        <f t="shared" si="199"/>
        <v>3.5</v>
      </c>
      <c r="H591" s="17">
        <v>1</v>
      </c>
      <c r="I591" s="17">
        <f t="shared" si="200"/>
        <v>0</v>
      </c>
      <c r="J591" s="17">
        <v>2.5</v>
      </c>
      <c r="K591" s="28">
        <f t="shared" si="184"/>
        <v>0</v>
      </c>
      <c r="L591" s="17"/>
      <c r="M591" s="28">
        <f t="shared" si="185"/>
        <v>0</v>
      </c>
      <c r="N591" s="17"/>
      <c r="O591" s="28">
        <f t="shared" si="186"/>
        <v>0</v>
      </c>
      <c r="P591" s="17"/>
      <c r="Q591" s="28">
        <f t="shared" si="187"/>
        <v>0</v>
      </c>
      <c r="R591" s="17"/>
      <c r="S591" s="28">
        <f t="shared" si="188"/>
        <v>0</v>
      </c>
      <c r="T591" s="17"/>
      <c r="U591" s="15">
        <f t="shared" si="189"/>
        <v>0</v>
      </c>
      <c r="V591" s="28">
        <f t="shared" si="190"/>
        <v>0</v>
      </c>
      <c r="W591" s="17"/>
      <c r="X591" s="17"/>
      <c r="Y591" s="18">
        <v>0.995</v>
      </c>
      <c r="Z591" s="21"/>
      <c r="AA591" s="17">
        <v>1</v>
      </c>
      <c r="AB591" s="17">
        <f>SUMIF([1]Curvv!B:B,[1]Capacity!D591,[1]Curvv!E:E)</f>
        <v>2334</v>
      </c>
      <c r="AC591" s="21"/>
      <c r="AD591" s="21"/>
      <c r="AE591" s="21"/>
      <c r="AF591" s="20">
        <f>SUMIF('[1]G-Chart'!G:G,[1]Capacity!D591,'[1]G-Chart'!L:L)</f>
        <v>-1665</v>
      </c>
      <c r="AG591" s="17">
        <v>0</v>
      </c>
      <c r="AH591" s="17">
        <f t="shared" si="192"/>
        <v>0</v>
      </c>
      <c r="AI591" s="17">
        <f t="shared" si="193"/>
        <v>0</v>
      </c>
      <c r="AJ591" s="17">
        <f t="shared" si="194"/>
        <v>0</v>
      </c>
      <c r="AK591" s="17">
        <f t="shared" si="195"/>
        <v>0</v>
      </c>
      <c r="AL591" s="17">
        <f t="shared" si="196"/>
        <v>0</v>
      </c>
      <c r="AM591" s="17">
        <f t="shared" si="197"/>
        <v>-5827.5</v>
      </c>
    </row>
    <row r="592" spans="1:39" x14ac:dyDescent="0.3">
      <c r="A592" s="58">
        <v>40</v>
      </c>
      <c r="B592" s="58" t="s">
        <v>1257</v>
      </c>
      <c r="C592" s="59" t="s">
        <v>1340</v>
      </c>
      <c r="D592" s="59" t="s">
        <v>1340</v>
      </c>
      <c r="E592" s="59" t="s">
        <v>1341</v>
      </c>
      <c r="F592" s="114">
        <f t="shared" si="198"/>
        <v>4668</v>
      </c>
      <c r="G592" s="115">
        <f t="shared" si="199"/>
        <v>1.5</v>
      </c>
      <c r="H592" s="17"/>
      <c r="I592" s="17">
        <f t="shared" si="200"/>
        <v>0</v>
      </c>
      <c r="J592" s="17"/>
      <c r="K592" s="28">
        <f t="shared" si="184"/>
        <v>0</v>
      </c>
      <c r="L592" s="17"/>
      <c r="M592" s="28">
        <f t="shared" si="185"/>
        <v>0</v>
      </c>
      <c r="N592" s="17"/>
      <c r="O592" s="28">
        <f t="shared" si="186"/>
        <v>0</v>
      </c>
      <c r="P592" s="17">
        <v>1</v>
      </c>
      <c r="Q592" s="28">
        <f t="shared" si="187"/>
        <v>4668</v>
      </c>
      <c r="R592" s="17">
        <v>0.5</v>
      </c>
      <c r="S592" s="28">
        <f t="shared" si="188"/>
        <v>2334</v>
      </c>
      <c r="T592" s="17"/>
      <c r="U592" s="15">
        <f t="shared" si="189"/>
        <v>0</v>
      </c>
      <c r="V592" s="28">
        <f t="shared" si="190"/>
        <v>7002</v>
      </c>
      <c r="W592" s="17"/>
      <c r="X592" s="17"/>
      <c r="Y592" s="18">
        <v>1.2999999999999999E-2</v>
      </c>
      <c r="Z592" s="21"/>
      <c r="AA592" s="17">
        <v>2</v>
      </c>
      <c r="AB592" s="17">
        <f>SUMIF([1]Curvv!B:B,[1]Capacity!D592,[1]Curvv!E:E)</f>
        <v>4668</v>
      </c>
      <c r="AC592" s="21"/>
      <c r="AD592" s="21"/>
      <c r="AE592" s="21"/>
      <c r="AF592" s="20">
        <f>SUMIF('[1]G-Chart'!G:G,[1]Capacity!D592,'[1]G-Chart'!L:L)</f>
        <v>332</v>
      </c>
      <c r="AG592" s="17">
        <f t="shared" si="191"/>
        <v>0</v>
      </c>
      <c r="AH592" s="17">
        <f t="shared" si="192"/>
        <v>0</v>
      </c>
      <c r="AI592" s="17">
        <f t="shared" si="193"/>
        <v>0</v>
      </c>
      <c r="AJ592" s="17">
        <f t="shared" si="194"/>
        <v>332</v>
      </c>
      <c r="AK592" s="17">
        <f t="shared" si="195"/>
        <v>166</v>
      </c>
      <c r="AL592" s="17">
        <f t="shared" si="196"/>
        <v>0</v>
      </c>
      <c r="AM592" s="17">
        <f t="shared" si="197"/>
        <v>498</v>
      </c>
    </row>
    <row r="593" spans="1:39" x14ac:dyDescent="0.3">
      <c r="A593" s="58">
        <v>41</v>
      </c>
      <c r="B593" s="58" t="s">
        <v>1257</v>
      </c>
      <c r="C593" s="59" t="s">
        <v>1342</v>
      </c>
      <c r="D593" s="59" t="s">
        <v>1342</v>
      </c>
      <c r="E593" s="59" t="s">
        <v>1343</v>
      </c>
      <c r="F593" s="114">
        <f t="shared" si="198"/>
        <v>354</v>
      </c>
      <c r="G593" s="115">
        <f t="shared" si="199"/>
        <v>4</v>
      </c>
      <c r="H593" s="17">
        <v>1</v>
      </c>
      <c r="I593" s="17">
        <f t="shared" si="200"/>
        <v>354</v>
      </c>
      <c r="J593" s="17"/>
      <c r="K593" s="28">
        <f t="shared" si="184"/>
        <v>0</v>
      </c>
      <c r="L593" s="17"/>
      <c r="M593" s="28">
        <f t="shared" si="185"/>
        <v>0</v>
      </c>
      <c r="N593" s="17"/>
      <c r="O593" s="28">
        <f t="shared" si="186"/>
        <v>0</v>
      </c>
      <c r="P593" s="17">
        <v>3</v>
      </c>
      <c r="Q593" s="28">
        <f t="shared" si="187"/>
        <v>1062</v>
      </c>
      <c r="R593" s="17"/>
      <c r="S593" s="28">
        <f t="shared" si="188"/>
        <v>0</v>
      </c>
      <c r="T593" s="17"/>
      <c r="U593" s="15">
        <f t="shared" si="189"/>
        <v>0</v>
      </c>
      <c r="V593" s="28">
        <f t="shared" si="190"/>
        <v>1416</v>
      </c>
      <c r="W593" s="17"/>
      <c r="X593" s="17"/>
      <c r="Y593" s="18">
        <v>3.5999999999999997E-2</v>
      </c>
      <c r="Z593" s="21"/>
      <c r="AA593" s="17">
        <v>1</v>
      </c>
      <c r="AB593" s="17">
        <f>SUMIF([1]Curvv!B:B,[1]Capacity!D593,[1]Curvv!E:E)</f>
        <v>354</v>
      </c>
      <c r="AC593" s="21"/>
      <c r="AD593" s="21"/>
      <c r="AE593" s="21"/>
      <c r="AF593" s="20">
        <f>SUMIF('[1]G-Chart'!G:G,[1]Capacity!D593,'[1]G-Chart'!L:L)</f>
        <v>10338</v>
      </c>
      <c r="AG593" s="17">
        <f t="shared" si="191"/>
        <v>0</v>
      </c>
      <c r="AH593" s="17">
        <f t="shared" si="192"/>
        <v>0</v>
      </c>
      <c r="AI593" s="17">
        <f t="shared" si="193"/>
        <v>0</v>
      </c>
      <c r="AJ593" s="17">
        <f t="shared" si="194"/>
        <v>31014</v>
      </c>
      <c r="AK593" s="17">
        <f t="shared" si="195"/>
        <v>0</v>
      </c>
      <c r="AL593" s="17">
        <f t="shared" si="196"/>
        <v>0</v>
      </c>
      <c r="AM593" s="17">
        <f t="shared" si="197"/>
        <v>41352</v>
      </c>
    </row>
    <row r="594" spans="1:39" x14ac:dyDescent="0.3">
      <c r="A594" s="58">
        <v>42</v>
      </c>
      <c r="B594" s="58" t="s">
        <v>1257</v>
      </c>
      <c r="C594" s="59" t="s">
        <v>1344</v>
      </c>
      <c r="D594" s="59" t="s">
        <v>1344</v>
      </c>
      <c r="E594" s="59" t="s">
        <v>1345</v>
      </c>
      <c r="F594" s="114">
        <f>AB594</f>
        <v>354</v>
      </c>
      <c r="G594" s="115">
        <f t="shared" si="199"/>
        <v>4</v>
      </c>
      <c r="H594" s="17">
        <v>1</v>
      </c>
      <c r="I594" s="17">
        <f t="shared" si="200"/>
        <v>354</v>
      </c>
      <c r="J594" s="17"/>
      <c r="K594" s="15">
        <f t="shared" si="184"/>
        <v>0</v>
      </c>
      <c r="L594" s="17"/>
      <c r="M594" s="15">
        <f t="shared" si="185"/>
        <v>0</v>
      </c>
      <c r="N594" s="17"/>
      <c r="O594" s="15">
        <f t="shared" si="186"/>
        <v>0</v>
      </c>
      <c r="P594" s="17">
        <v>3</v>
      </c>
      <c r="Q594" s="15">
        <f t="shared" si="187"/>
        <v>1062</v>
      </c>
      <c r="R594" s="17"/>
      <c r="S594" s="15">
        <f t="shared" si="188"/>
        <v>0</v>
      </c>
      <c r="T594" s="17"/>
      <c r="U594" s="15">
        <f t="shared" si="189"/>
        <v>0</v>
      </c>
      <c r="V594" s="15">
        <f t="shared" si="190"/>
        <v>1416</v>
      </c>
      <c r="W594" s="17"/>
      <c r="X594" s="17"/>
      <c r="Y594" s="18">
        <v>6.9000000000000006E-2</v>
      </c>
      <c r="Z594" s="21"/>
      <c r="AA594" s="17">
        <v>1</v>
      </c>
      <c r="AB594" s="17">
        <f>SUMIF([1]Curvv!B:B,[1]Capacity!D594,[1]Curvv!E:E)</f>
        <v>354</v>
      </c>
      <c r="AC594" s="21"/>
      <c r="AD594" s="21"/>
      <c r="AE594" s="21"/>
      <c r="AF594" s="20">
        <f>SUMIF('[1]G-Chart'!G:G,[1]Capacity!D594,'[1]G-Chart'!L:L)</f>
        <v>2770</v>
      </c>
      <c r="AG594" s="17">
        <f>AF594*J594</f>
        <v>0</v>
      </c>
      <c r="AH594" s="17">
        <f t="shared" si="192"/>
        <v>0</v>
      </c>
      <c r="AI594" s="17">
        <f t="shared" si="193"/>
        <v>0</v>
      </c>
      <c r="AJ594" s="17">
        <f t="shared" si="194"/>
        <v>8310</v>
      </c>
      <c r="AK594" s="17">
        <f t="shared" si="195"/>
        <v>0</v>
      </c>
      <c r="AL594" s="17">
        <f t="shared" si="196"/>
        <v>0</v>
      </c>
      <c r="AM594" s="17">
        <f t="shared" si="197"/>
        <v>11080</v>
      </c>
    </row>
    <row r="595" spans="1:39" x14ac:dyDescent="0.3">
      <c r="K595" s="2">
        <f>SUM(K553:K594)</f>
        <v>28008</v>
      </c>
      <c r="M595" s="2">
        <f>SUM(M553:M594)</f>
        <v>30342</v>
      </c>
      <c r="O595" s="2">
        <f>SUM(O553:O594)</f>
        <v>30342</v>
      </c>
      <c r="Q595" s="2">
        <f>SUM(Q553:Q594)</f>
        <v>31194</v>
      </c>
      <c r="S595" s="2">
        <f>SUM(S553:S594)</f>
        <v>7002</v>
      </c>
      <c r="U595" s="2">
        <f>SUM(U553:U594)</f>
        <v>0</v>
      </c>
      <c r="V595" s="111">
        <f>SUM(V553:V594)</f>
        <v>165294</v>
      </c>
      <c r="AF595" s="101">
        <f>SUM(AF3:AF594)</f>
        <v>-820855</v>
      </c>
      <c r="AG595" s="2">
        <f t="shared" ref="AG595:AL595" si="201">SUM(AG553:AG594)</f>
        <v>24617.5</v>
      </c>
      <c r="AH595" s="2">
        <f t="shared" si="201"/>
        <v>14386.5</v>
      </c>
      <c r="AI595" s="2">
        <f t="shared" si="201"/>
        <v>11548</v>
      </c>
      <c r="AJ595" s="2">
        <f t="shared" si="201"/>
        <v>65673</v>
      </c>
      <c r="AK595" s="2">
        <f t="shared" si="201"/>
        <v>5526</v>
      </c>
      <c r="AL595" s="2">
        <f t="shared" si="201"/>
        <v>0</v>
      </c>
    </row>
    <row r="596" spans="1:39" x14ac:dyDescent="0.3">
      <c r="W596" s="2">
        <f>V595/26</f>
        <v>6357.4615384615381</v>
      </c>
    </row>
    <row r="597" spans="1:39" x14ac:dyDescent="0.3">
      <c r="A597" s="21"/>
      <c r="B597" s="21"/>
      <c r="C597" s="21"/>
      <c r="D597" s="21"/>
      <c r="E597" s="21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13">
        <f>V595/26</f>
        <v>6357.4615384615381</v>
      </c>
      <c r="W597" s="17"/>
      <c r="X597" s="17"/>
      <c r="Y597" s="21"/>
      <c r="Z597" s="21"/>
      <c r="AA597" s="21"/>
      <c r="AB597" s="21"/>
      <c r="AC597" s="21"/>
      <c r="AD597" s="21"/>
      <c r="AE597" s="21"/>
      <c r="AF597" s="21"/>
      <c r="AG597" s="17"/>
      <c r="AH597" s="17"/>
      <c r="AI597" s="17"/>
      <c r="AJ597" s="21"/>
      <c r="AK597" s="21"/>
      <c r="AL597" s="21"/>
      <c r="AM597" s="21"/>
    </row>
    <row r="598" spans="1:39" x14ac:dyDescent="0.3">
      <c r="A598" s="21"/>
      <c r="B598" s="21"/>
      <c r="C598" s="21"/>
      <c r="D598" s="21"/>
      <c r="E598" s="21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21"/>
      <c r="Z598" s="21"/>
      <c r="AA598" s="21"/>
      <c r="AB598" s="21"/>
      <c r="AC598" s="21"/>
      <c r="AD598" s="21"/>
      <c r="AE598" s="21"/>
      <c r="AF598" s="21"/>
      <c r="AG598" s="17"/>
      <c r="AH598" s="17"/>
      <c r="AI598" s="17"/>
      <c r="AJ598" s="21"/>
      <c r="AK598" s="21"/>
      <c r="AL598" s="21"/>
      <c r="AM598" s="21"/>
    </row>
    <row r="599" spans="1:39" x14ac:dyDescent="0.3">
      <c r="A599" s="21"/>
      <c r="B599" s="21"/>
      <c r="C599" s="21"/>
      <c r="D599" s="21"/>
      <c r="E599" s="21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21"/>
      <c r="Z599" s="21"/>
      <c r="AA599" s="21"/>
      <c r="AB599" s="21"/>
      <c r="AC599" s="21"/>
      <c r="AD599" s="21"/>
      <c r="AE599" s="21"/>
      <c r="AF599" s="21"/>
      <c r="AG599" s="17"/>
      <c r="AH599" s="17"/>
      <c r="AI599" s="17"/>
      <c r="AJ599" s="21"/>
      <c r="AK599" s="21"/>
      <c r="AL599" s="21"/>
      <c r="AM599" s="21"/>
    </row>
    <row r="600" spans="1:39" x14ac:dyDescent="0.3">
      <c r="A600" s="21"/>
      <c r="B600" s="21"/>
      <c r="C600" s="21"/>
      <c r="D600" s="21"/>
      <c r="E600" s="21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21"/>
      <c r="Z600" s="21"/>
      <c r="AA600" s="21"/>
      <c r="AB600" s="21"/>
      <c r="AC600" s="21"/>
      <c r="AD600" s="21"/>
      <c r="AE600" s="21"/>
      <c r="AF600" s="21"/>
      <c r="AG600" s="17"/>
      <c r="AH600" s="17"/>
      <c r="AI600" s="17"/>
      <c r="AJ600" s="21"/>
      <c r="AK600" s="21"/>
      <c r="AL600" s="21"/>
      <c r="AM600" s="21"/>
    </row>
    <row r="601" spans="1:39" x14ac:dyDescent="0.3">
      <c r="A601" s="21"/>
      <c r="B601" s="21"/>
      <c r="C601" s="21"/>
      <c r="D601" s="21"/>
      <c r="E601" s="21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21"/>
      <c r="Z601" s="21"/>
      <c r="AA601" s="21"/>
      <c r="AB601" s="21"/>
      <c r="AC601" s="21"/>
      <c r="AD601" s="21"/>
      <c r="AE601" s="21"/>
      <c r="AF601" s="21"/>
      <c r="AG601" s="17"/>
      <c r="AH601" s="17"/>
      <c r="AI601" s="17"/>
      <c r="AJ601" s="21"/>
      <c r="AK601" s="21"/>
      <c r="AL601" s="21"/>
      <c r="AM601" s="21"/>
    </row>
    <row r="602" spans="1:39" x14ac:dyDescent="0.3">
      <c r="A602" s="21"/>
      <c r="B602" s="21"/>
      <c r="C602" s="21"/>
      <c r="D602" s="21"/>
      <c r="E602" s="21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21"/>
      <c r="Z602" s="21"/>
      <c r="AA602" s="21"/>
      <c r="AB602" s="21"/>
      <c r="AC602" s="21"/>
      <c r="AD602" s="21"/>
      <c r="AE602" s="21"/>
      <c r="AF602" s="21"/>
      <c r="AG602" s="17"/>
      <c r="AH602" s="17"/>
      <c r="AI602" s="17"/>
      <c r="AJ602" s="21"/>
      <c r="AK602" s="21"/>
      <c r="AL602" s="21"/>
      <c r="AM602" s="21"/>
    </row>
    <row r="603" spans="1:39" x14ac:dyDescent="0.3">
      <c r="A603" s="21"/>
      <c r="B603" s="21"/>
      <c r="C603" s="21"/>
      <c r="D603" s="21"/>
      <c r="E603" s="21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21"/>
      <c r="Z603" s="21"/>
      <c r="AA603" s="21"/>
      <c r="AB603" s="21"/>
      <c r="AC603" s="21"/>
      <c r="AD603" s="21"/>
      <c r="AE603" s="21"/>
      <c r="AF603" s="21"/>
      <c r="AG603" s="17"/>
      <c r="AH603" s="17"/>
      <c r="AI603" s="17"/>
      <c r="AJ603" s="21"/>
      <c r="AK603" s="21"/>
      <c r="AL603" s="21"/>
      <c r="AM603" s="21"/>
    </row>
    <row r="604" spans="1:39" x14ac:dyDescent="0.3">
      <c r="A604" s="21"/>
      <c r="B604" s="21"/>
      <c r="C604" s="21"/>
      <c r="D604" s="21"/>
      <c r="E604" s="21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21"/>
      <c r="Z604" s="21"/>
      <c r="AA604" s="21"/>
      <c r="AB604" s="21"/>
      <c r="AC604" s="21"/>
      <c r="AD604" s="21"/>
      <c r="AE604" s="21"/>
      <c r="AF604" s="21"/>
      <c r="AG604" s="17"/>
      <c r="AH604" s="17"/>
      <c r="AI604" s="17"/>
      <c r="AJ604" s="21"/>
      <c r="AK604" s="21"/>
      <c r="AL604" s="21"/>
      <c r="AM604" s="21"/>
    </row>
    <row r="605" spans="1:39" x14ac:dyDescent="0.3">
      <c r="A605" s="21"/>
      <c r="B605" s="21"/>
      <c r="C605" s="21"/>
      <c r="D605" s="21"/>
      <c r="E605" s="21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21"/>
      <c r="Z605" s="21"/>
      <c r="AA605" s="21"/>
      <c r="AB605" s="21"/>
      <c r="AC605" s="21"/>
      <c r="AD605" s="21"/>
      <c r="AE605" s="21"/>
      <c r="AF605" s="21"/>
      <c r="AG605" s="17"/>
      <c r="AH605" s="17"/>
      <c r="AI605" s="17"/>
      <c r="AJ605" s="21"/>
      <c r="AK605" s="21"/>
      <c r="AL605" s="21"/>
      <c r="AM605" s="21"/>
    </row>
    <row r="606" spans="1:39" x14ac:dyDescent="0.3">
      <c r="A606" s="21"/>
      <c r="B606" s="21"/>
      <c r="C606" s="21"/>
      <c r="D606" s="21"/>
      <c r="E606" s="21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21"/>
      <c r="Z606" s="21"/>
      <c r="AA606" s="21"/>
      <c r="AB606" s="21"/>
      <c r="AC606" s="21"/>
      <c r="AD606" s="21"/>
      <c r="AE606" s="21"/>
      <c r="AF606" s="21"/>
      <c r="AG606" s="17"/>
      <c r="AH606" s="17"/>
      <c r="AI606" s="17"/>
      <c r="AJ606" s="21"/>
      <c r="AK606" s="21"/>
      <c r="AL606" s="21"/>
      <c r="AM606" s="21"/>
    </row>
    <row r="607" spans="1:39" x14ac:dyDescent="0.3">
      <c r="A607" s="21"/>
      <c r="B607" s="21"/>
      <c r="C607" s="21"/>
      <c r="D607" s="21"/>
      <c r="E607" s="21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21"/>
      <c r="Z607" s="21"/>
      <c r="AA607" s="21"/>
      <c r="AB607" s="21"/>
      <c r="AC607" s="21"/>
      <c r="AD607" s="21"/>
      <c r="AE607" s="21"/>
      <c r="AF607" s="21"/>
      <c r="AG607" s="17"/>
      <c r="AH607" s="17"/>
      <c r="AI607" s="17"/>
      <c r="AJ607" s="21"/>
      <c r="AK607" s="21"/>
      <c r="AL607" s="21"/>
      <c r="AM607" s="21"/>
    </row>
    <row r="608" spans="1:39" x14ac:dyDescent="0.3">
      <c r="A608" s="21"/>
      <c r="B608" s="21"/>
      <c r="C608" s="21"/>
      <c r="D608" s="21"/>
      <c r="E608" s="21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21"/>
      <c r="Z608" s="21"/>
      <c r="AA608" s="21"/>
      <c r="AB608" s="21"/>
      <c r="AC608" s="21"/>
      <c r="AD608" s="21"/>
      <c r="AE608" s="21"/>
      <c r="AF608" s="21"/>
      <c r="AG608" s="17"/>
      <c r="AH608" s="17"/>
      <c r="AI608" s="17"/>
      <c r="AJ608" s="21"/>
      <c r="AK608" s="21"/>
      <c r="AL608" s="21"/>
      <c r="AM608" s="21"/>
    </row>
  </sheetData>
  <conditionalFormatting sqref="C34">
    <cfRule type="duplicateValues" dxfId="111" priority="91"/>
    <cfRule type="duplicateValues" dxfId="112" priority="92"/>
    <cfRule type="duplicateValues" dxfId="113" priority="93"/>
    <cfRule type="duplicateValues" dxfId="108" priority="94"/>
    <cfRule type="duplicateValues" dxfId="109" priority="95"/>
    <cfRule type="duplicateValues" dxfId="110" priority="96"/>
  </conditionalFormatting>
  <conditionalFormatting sqref="C35">
    <cfRule type="duplicateValues" dxfId="107" priority="79"/>
    <cfRule type="duplicateValues" dxfId="106" priority="80"/>
    <cfRule type="duplicateValues" dxfId="102" priority="81"/>
    <cfRule type="duplicateValues" dxfId="105" priority="82"/>
    <cfRule type="duplicateValues" dxfId="104" priority="83"/>
    <cfRule type="duplicateValues" dxfId="103" priority="84"/>
  </conditionalFormatting>
  <conditionalFormatting sqref="C36:C37">
    <cfRule type="duplicateValues" dxfId="98" priority="85"/>
    <cfRule type="duplicateValues" dxfId="97" priority="86"/>
    <cfRule type="duplicateValues" dxfId="96" priority="87"/>
    <cfRule type="duplicateValues" dxfId="99" priority="88"/>
    <cfRule type="duplicateValues" dxfId="100" priority="89"/>
    <cfRule type="duplicateValues" dxfId="101" priority="90"/>
  </conditionalFormatting>
  <conditionalFormatting sqref="C53">
    <cfRule type="duplicateValues" dxfId="95" priority="78"/>
  </conditionalFormatting>
  <conditionalFormatting sqref="C54">
    <cfRule type="duplicateValues" dxfId="94" priority="77"/>
  </conditionalFormatting>
  <conditionalFormatting sqref="C55">
    <cfRule type="duplicateValues" dxfId="93" priority="76"/>
  </conditionalFormatting>
  <conditionalFormatting sqref="C56">
    <cfRule type="duplicateValues" dxfId="92" priority="75"/>
  </conditionalFormatting>
  <conditionalFormatting sqref="C62">
    <cfRule type="duplicateValues" dxfId="91" priority="73"/>
  </conditionalFormatting>
  <conditionalFormatting sqref="C370">
    <cfRule type="duplicateValues" dxfId="90" priority="72"/>
  </conditionalFormatting>
  <conditionalFormatting sqref="C371:C382">
    <cfRule type="duplicateValues" dxfId="89" priority="71"/>
  </conditionalFormatting>
  <conditionalFormatting sqref="C383:C414">
    <cfRule type="duplicateValues" dxfId="87" priority="111"/>
    <cfRule type="duplicateValues" dxfId="86" priority="112"/>
    <cfRule type="duplicateValues" dxfId="88" priority="113"/>
  </conditionalFormatting>
  <conditionalFormatting sqref="C498">
    <cfRule type="duplicateValues" dxfId="84" priority="3"/>
    <cfRule type="duplicateValues" dxfId="85" priority="4"/>
  </conditionalFormatting>
  <conditionalFormatting sqref="C501">
    <cfRule type="duplicateValues" dxfId="83" priority="114"/>
  </conditionalFormatting>
  <conditionalFormatting sqref="C529">
    <cfRule type="duplicateValues" dxfId="82" priority="17"/>
  </conditionalFormatting>
  <conditionalFormatting sqref="C553:C594">
    <cfRule type="duplicateValues" dxfId="81" priority="9"/>
  </conditionalFormatting>
  <conditionalFormatting sqref="C595:C1048576 C535:C552 C2:C213 C383:C414 C215:C369">
    <cfRule type="duplicateValues" dxfId="80" priority="74"/>
  </conditionalFormatting>
  <conditionalFormatting sqref="C214:D214">
    <cfRule type="duplicateValues" dxfId="77" priority="25"/>
    <cfRule type="duplicateValues" dxfId="79" priority="26"/>
    <cfRule type="duplicateValues" dxfId="78" priority="27"/>
  </conditionalFormatting>
  <conditionalFormatting sqref="D9">
    <cfRule type="duplicateValues" dxfId="76" priority="22"/>
    <cfRule type="duplicateValues" dxfId="75" priority="23"/>
    <cfRule type="duplicateValues" dxfId="74" priority="24"/>
  </conditionalFormatting>
  <conditionalFormatting sqref="D34:D35">
    <cfRule type="duplicateValues" dxfId="73" priority="105"/>
    <cfRule type="duplicateValues" dxfId="68" priority="106"/>
    <cfRule type="duplicateValues" dxfId="69" priority="107"/>
    <cfRule type="duplicateValues" dxfId="70" priority="108"/>
    <cfRule type="duplicateValues" dxfId="72" priority="109"/>
    <cfRule type="duplicateValues" dxfId="71" priority="110"/>
  </conditionalFormatting>
  <conditionalFormatting sqref="D36:D37">
    <cfRule type="duplicateValues" dxfId="65" priority="99"/>
    <cfRule type="duplicateValues" dxfId="66" priority="100"/>
    <cfRule type="duplicateValues" dxfId="64" priority="101"/>
    <cfRule type="duplicateValues" dxfId="63" priority="102"/>
    <cfRule type="duplicateValues" dxfId="62" priority="103"/>
    <cfRule type="duplicateValues" dxfId="67" priority="104"/>
  </conditionalFormatting>
  <conditionalFormatting sqref="D40">
    <cfRule type="duplicateValues" dxfId="60" priority="66"/>
    <cfRule type="duplicateValues" dxfId="61" priority="67"/>
  </conditionalFormatting>
  <conditionalFormatting sqref="D47">
    <cfRule type="duplicateValues" dxfId="58" priority="64"/>
    <cfRule type="duplicateValues" dxfId="59" priority="65"/>
  </conditionalFormatting>
  <conditionalFormatting sqref="D48">
    <cfRule type="duplicateValues" dxfId="56" priority="62"/>
    <cfRule type="duplicateValues" dxfId="57" priority="63"/>
  </conditionalFormatting>
  <conditionalFormatting sqref="D53">
    <cfRule type="duplicateValues" dxfId="54" priority="60"/>
    <cfRule type="duplicateValues" dxfId="55" priority="61"/>
  </conditionalFormatting>
  <conditionalFormatting sqref="D55:D56">
    <cfRule type="duplicateValues" dxfId="53" priority="98"/>
  </conditionalFormatting>
  <conditionalFormatting sqref="D72">
    <cfRule type="duplicateValues" dxfId="52" priority="97"/>
  </conditionalFormatting>
  <conditionalFormatting sqref="D95">
    <cfRule type="duplicateValues" dxfId="50" priority="58"/>
    <cfRule type="duplicateValues" dxfId="51" priority="59"/>
  </conditionalFormatting>
  <conditionalFormatting sqref="D96">
    <cfRule type="duplicateValues" dxfId="48" priority="56"/>
    <cfRule type="duplicateValues" dxfId="49" priority="57"/>
  </conditionalFormatting>
  <conditionalFormatting sqref="D97">
    <cfRule type="duplicateValues" dxfId="46" priority="54"/>
    <cfRule type="duplicateValues" dxfId="47" priority="55"/>
  </conditionalFormatting>
  <conditionalFormatting sqref="D98">
    <cfRule type="duplicateValues" dxfId="45" priority="52"/>
    <cfRule type="duplicateValues" dxfId="44" priority="53"/>
  </conditionalFormatting>
  <conditionalFormatting sqref="D102">
    <cfRule type="duplicateValues" dxfId="42" priority="50"/>
    <cfRule type="duplicateValues" dxfId="43" priority="51"/>
  </conditionalFormatting>
  <conditionalFormatting sqref="D103">
    <cfRule type="duplicateValues" dxfId="40" priority="48"/>
    <cfRule type="duplicateValues" dxfId="41" priority="49"/>
  </conditionalFormatting>
  <conditionalFormatting sqref="D106">
    <cfRule type="duplicateValues" dxfId="38" priority="46"/>
    <cfRule type="duplicateValues" dxfId="39" priority="47"/>
  </conditionalFormatting>
  <conditionalFormatting sqref="D107">
    <cfRule type="duplicateValues" dxfId="37" priority="44"/>
    <cfRule type="duplicateValues" dxfId="36" priority="45"/>
  </conditionalFormatting>
  <conditionalFormatting sqref="D108">
    <cfRule type="duplicateValues" dxfId="34" priority="42"/>
    <cfRule type="duplicateValues" dxfId="35" priority="43"/>
  </conditionalFormatting>
  <conditionalFormatting sqref="D109">
    <cfRule type="duplicateValues" dxfId="32" priority="40"/>
    <cfRule type="duplicateValues" dxfId="33" priority="41"/>
  </conditionalFormatting>
  <conditionalFormatting sqref="D139">
    <cfRule type="duplicateValues" dxfId="30" priority="38"/>
    <cfRule type="duplicateValues" dxfId="31" priority="39"/>
  </conditionalFormatting>
  <conditionalFormatting sqref="D140">
    <cfRule type="duplicateValues" dxfId="28" priority="36"/>
    <cfRule type="duplicateValues" dxfId="29" priority="37"/>
  </conditionalFormatting>
  <conditionalFormatting sqref="D293">
    <cfRule type="duplicateValues" dxfId="26" priority="34"/>
    <cfRule type="duplicateValues" dxfId="27" priority="35"/>
  </conditionalFormatting>
  <conditionalFormatting sqref="D319">
    <cfRule type="duplicateValues" dxfId="24" priority="32"/>
    <cfRule type="duplicateValues" dxfId="25" priority="33"/>
  </conditionalFormatting>
  <conditionalFormatting sqref="D346">
    <cfRule type="duplicateValues" dxfId="23" priority="70"/>
  </conditionalFormatting>
  <conditionalFormatting sqref="D349">
    <cfRule type="duplicateValues" dxfId="22" priority="13"/>
    <cfRule type="duplicateValues" dxfId="21" priority="14"/>
    <cfRule type="duplicateValues" dxfId="20" priority="15"/>
  </conditionalFormatting>
  <conditionalFormatting sqref="D350">
    <cfRule type="duplicateValues" dxfId="19" priority="10"/>
    <cfRule type="duplicateValues" dxfId="18" priority="11"/>
    <cfRule type="duplicateValues" dxfId="17" priority="12"/>
  </conditionalFormatting>
  <conditionalFormatting sqref="D492">
    <cfRule type="duplicateValues" dxfId="15" priority="30"/>
    <cfRule type="duplicateValues" dxfId="16" priority="31"/>
  </conditionalFormatting>
  <conditionalFormatting sqref="D498">
    <cfRule type="duplicateValues" dxfId="14" priority="1"/>
    <cfRule type="duplicateValues" dxfId="13" priority="2"/>
  </conditionalFormatting>
  <conditionalFormatting sqref="D501">
    <cfRule type="duplicateValues" dxfId="11" priority="28"/>
    <cfRule type="duplicateValues" dxfId="12" priority="29"/>
  </conditionalFormatting>
  <conditionalFormatting sqref="D528 D530:D532">
    <cfRule type="duplicateValues" dxfId="10" priority="18"/>
  </conditionalFormatting>
  <conditionalFormatting sqref="D529">
    <cfRule type="duplicateValues" dxfId="9" priority="16"/>
  </conditionalFormatting>
  <conditionalFormatting sqref="D553:D594">
    <cfRule type="duplicateValues" dxfId="8" priority="8"/>
  </conditionalFormatting>
  <conditionalFormatting sqref="D595:D1048576 D535:D552 D281:D292 D2:D8 D41:D46 D49:D52 D55:D94 D99:D101 D104:D105 D110:D138 D141:D213 D294:D318 D320:D348 D215:D251 D10:D39 D253:D279 D351:D414">
    <cfRule type="duplicateValues" dxfId="6" priority="68"/>
    <cfRule type="duplicateValues" dxfId="7" priority="69"/>
  </conditionalFormatting>
  <conditionalFormatting sqref="AF3:AF542">
    <cfRule type="cellIs" dxfId="3" priority="19" operator="between">
      <formula>#REF!</formula>
      <formula>#REF!</formula>
    </cfRule>
    <cfRule type="cellIs" dxfId="4" priority="20" operator="between">
      <formula>0</formula>
      <formula>#REF!</formula>
    </cfRule>
    <cfRule type="cellIs" dxfId="5" priority="21" operator="between">
      <formula>#REF!</formula>
      <formula>#REF!</formula>
    </cfRule>
  </conditionalFormatting>
  <conditionalFormatting sqref="AF553:AF594">
    <cfRule type="cellIs" dxfId="0" priority="5" operator="between">
      <formula>#REF!</formula>
      <formula>#REF!</formula>
    </cfRule>
    <cfRule type="cellIs" dxfId="1" priority="6" operator="between">
      <formula>0</formula>
      <formula>#REF!</formula>
    </cfRule>
    <cfRule type="cellIs" dxfId="2" priority="7" operator="between">
      <formula>#REF!</formula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Saxena</dc:creator>
  <cp:lastModifiedBy>Raj Saxena</cp:lastModifiedBy>
  <dcterms:created xsi:type="dcterms:W3CDTF">2026-05-06T08:28:21Z</dcterms:created>
  <dcterms:modified xsi:type="dcterms:W3CDTF">2026-05-06T08:28:40Z</dcterms:modified>
</cp:coreProperties>
</file>